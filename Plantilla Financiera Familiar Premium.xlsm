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rge\Documents\"/>
    </mc:Choice>
  </mc:AlternateContent>
  <xr:revisionPtr revIDLastSave="0" documentId="13_ncr:1_{9116A8E8-BD6C-4383-9CD9-5054AC14BD37}" xr6:coauthVersionLast="47" xr6:coauthVersionMax="47" xr10:uidLastSave="{00000000-0000-0000-0000-000000000000}"/>
  <bookViews>
    <workbookView xWindow="-108" yWindow="-108" windowWidth="23256" windowHeight="12456" xr2:uid="{031B4149-CD6A-481F-BB06-F9074C45D935}"/>
  </bookViews>
  <sheets>
    <sheet name="Instrucciones" sheetId="8" r:id="rId1"/>
    <sheet name="Configuracion" sheetId="1" r:id="rId2"/>
    <sheet name="Ingresos" sheetId="2" r:id="rId3"/>
    <sheet name="Gastos" sheetId="3" r:id="rId4"/>
    <sheet name="Dashboard" sheetId="5" r:id="rId5"/>
    <sheet name="Datos" sheetId="6" r:id="rId6"/>
  </sheets>
  <definedNames>
    <definedName name="Alimentacion">Configuracion!$D$17:$D$20</definedName>
    <definedName name="Cat_Gastos">Configuracion!$A$17:$A$22</definedName>
    <definedName name="Cat_Ingresos">Configuracion!$A$10:$A$13</definedName>
    <definedName name="Metodos_Pago">Configuracion!$A$41:$A$44</definedName>
    <definedName name="Ocio">Configuracion!$D$47:$D$48</definedName>
    <definedName name="Otros">Configuracion!$D$51:$D$54</definedName>
    <definedName name="Salud">Configuracion!$D$42:$D$44</definedName>
    <definedName name="Transporte">Configuracion!$D$23:$D$28</definedName>
    <definedName name="Vivienda">Configuracion!$D$31:$D$39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6" l="1"/>
  <c r="B2" i="6"/>
  <c r="A6" i="6"/>
  <c r="G9" i="2"/>
  <c r="E2" i="2"/>
  <c r="A7" i="6"/>
  <c r="B7" i="6" s="1"/>
  <c r="A5" i="6"/>
  <c r="B5" i="6" s="1"/>
  <c r="A4" i="6"/>
  <c r="B4" i="6" s="1"/>
  <c r="A3" i="6"/>
  <c r="B3" i="6" s="1"/>
  <c r="A2" i="6"/>
  <c r="D5" i="5"/>
  <c r="A5" i="5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6" i="3"/>
  <c r="G7" i="2"/>
  <c r="G8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6" i="2"/>
  <c r="E2" i="3"/>
  <c r="G5" i="5" l="1"/>
  <c r="J5" i="5" s="1"/>
  <c r="C19" i="6"/>
  <c r="C22" i="6"/>
  <c r="C20" i="6"/>
  <c r="C21" i="6"/>
  <c r="C18" i="6"/>
  <c r="C17" i="6"/>
  <c r="C16" i="6"/>
  <c r="C15" i="6"/>
  <c r="C14" i="6"/>
  <c r="C13" i="6"/>
  <c r="C12" i="6"/>
  <c r="C11" i="6"/>
  <c r="B21" i="6"/>
  <c r="B22" i="6"/>
  <c r="B20" i="6"/>
  <c r="B19" i="6"/>
  <c r="B18" i="6"/>
  <c r="B17" i="6"/>
  <c r="B16" i="6"/>
  <c r="B15" i="6"/>
  <c r="B14" i="6"/>
  <c r="B13" i="6"/>
  <c r="B12" i="6"/>
  <c r="B11" i="6"/>
  <c r="D21" i="6" l="1"/>
  <c r="D22" i="6"/>
  <c r="D20" i="6"/>
  <c r="D19" i="6"/>
  <c r="D18" i="6"/>
  <c r="D17" i="6"/>
  <c r="D16" i="6"/>
  <c r="D15" i="6"/>
  <c r="D14" i="6"/>
  <c r="D13" i="6"/>
  <c r="D12" i="6"/>
  <c r="D11" i="6"/>
</calcChain>
</file>

<file path=xl/sharedStrings.xml><?xml version="1.0" encoding="utf-8"?>
<sst xmlns="http://schemas.openxmlformats.org/spreadsheetml/2006/main" count="169" uniqueCount="131">
  <si>
    <t>CONFIGURACION GENERAL</t>
  </si>
  <si>
    <t xml:space="preserve">⚙️ Ajustes iniciales de la plantilla
</t>
  </si>
  <si>
    <t>EUR</t>
  </si>
  <si>
    <t>💱 Moneda</t>
  </si>
  <si>
    <t>Moneda seleccionada:</t>
  </si>
  <si>
    <t>Categoría</t>
  </si>
  <si>
    <t>💰 Categorías de Ingresos</t>
  </si>
  <si>
    <t>Freelance</t>
  </si>
  <si>
    <t>Inversiones</t>
  </si>
  <si>
    <t>Otros</t>
  </si>
  <si>
    <t>Salario</t>
  </si>
  <si>
    <t>💸 Categorías de Gastos</t>
  </si>
  <si>
    <t>Transporte</t>
  </si>
  <si>
    <t>Vivienda</t>
  </si>
  <si>
    <t>Salud</t>
  </si>
  <si>
    <t>Ocio</t>
  </si>
  <si>
    <t>🎯 Objetivo de Ahorro Mensual</t>
  </si>
  <si>
    <t>Objetivo</t>
  </si>
  <si>
    <t>👤 Información del Usuario</t>
  </si>
  <si>
    <t>Nombre:</t>
  </si>
  <si>
    <t>Mes actual</t>
  </si>
  <si>
    <t>Jorge</t>
  </si>
  <si>
    <t>Febrero</t>
  </si>
  <si>
    <t>🎨 Paleta de colores (uso interno)</t>
  </si>
  <si>
    <t>Elemento</t>
  </si>
  <si>
    <t>Color</t>
  </si>
  <si>
    <t>Azul principal</t>
  </si>
  <si>
    <t>#3A7BFF</t>
  </si>
  <si>
    <t>Rojo coral</t>
  </si>
  <si>
    <t>#FF6B6B</t>
  </si>
  <si>
    <t>Verde positivo</t>
  </si>
  <si>
    <t>#2ECC71</t>
  </si>
  <si>
    <t>Púrpura tech</t>
  </si>
  <si>
    <t>#9B59B6</t>
  </si>
  <si>
    <t>Fondo claro</t>
  </si>
  <si>
    <t>#F4F7FB</t>
  </si>
  <si>
    <t>REGISTRO DE INGRESOS</t>
  </si>
  <si>
    <t>💰 Aquí registrarás todos tus ingresos</t>
  </si>
  <si>
    <t>ID</t>
  </si>
  <si>
    <t>Fecha</t>
  </si>
  <si>
    <t>Descripción</t>
  </si>
  <si>
    <t>Monto</t>
  </si>
  <si>
    <t>Método de pago</t>
  </si>
  <si>
    <t>Total ingresos</t>
  </si>
  <si>
    <t>Nómina enero</t>
  </si>
  <si>
    <t>Proyecto X</t>
  </si>
  <si>
    <t xml:space="preserve">Transferencia </t>
  </si>
  <si>
    <t>Bizum</t>
  </si>
  <si>
    <t>💳 Métodos de pago</t>
  </si>
  <si>
    <t>Efectivo</t>
  </si>
  <si>
    <t>Tarjeta</t>
  </si>
  <si>
    <t>Transferencia</t>
  </si>
  <si>
    <t>REGISTRO DE GASTOS</t>
  </si>
  <si>
    <t>💸 Aquí registrarás todos tus gastos</t>
  </si>
  <si>
    <t>Total gastos</t>
  </si>
  <si>
    <t>📊 Resumen visual de tus finanzas</t>
  </si>
  <si>
    <t>Categoria</t>
  </si>
  <si>
    <t>Total</t>
  </si>
  <si>
    <t>Mes</t>
  </si>
  <si>
    <t>Ingresos</t>
  </si>
  <si>
    <t>Gastos</t>
  </si>
  <si>
    <t>Balance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</si>
  <si>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</si>
  <si>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</si>
  <si>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</si>
  <si>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</si>
  <si>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</si>
  <si>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</si>
  <si>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</si>
  <si>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</si>
  <si>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</si>
  <si>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</si>
  <si>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</si>
  <si>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📊 Estado financiero</t>
  </si>
  <si>
    <t>Sección</t>
  </si>
  <si>
    <t>Instrucción / Información</t>
  </si>
  <si>
    <t>📘 Bienvenida</t>
  </si>
  <si>
    <t>Bienvenido a tu Gestor Financiero Personal</t>
  </si>
  <si>
    <t>🎉 Agradecimiento</t>
  </si>
  <si>
    <t>¡Gracias por confiar en nuestra plantilla! Con esta herramienta podrás tomar el control de tus finanzas de forma sencilla, visual y profesional. Registra tus ingresos y gastos, analiza tu balance y alcanza tus objetivos de ahorro.</t>
  </si>
  <si>
    <t>🚀 Primeros pasos</t>
  </si>
  <si>
    <t>📊 Interpretar el dashboard</t>
  </si>
  <si>
    <t>Ingresos: suma total mensual. Gastos: suma total mensual. Ahorro: diferencia entre ingresos y gastos. Estado financiero: si el ahorro es positivo, ¡vas bien! Si es negativo, revisa tus gastos.</t>
  </si>
  <si>
    <t>🛠️ Personalización avanzada</t>
  </si>
  <si>
    <t>Modifica categorías y métodos de pago en “Configuración”. Añade nuevas categorías escribiéndolas en la lista. Cambia los colores editando los códigos hexadecimales en la paleta de colores.</t>
  </si>
  <si>
    <t>💡 Consejos de uso</t>
  </si>
  <si>
    <t>Registra tus movimientos a diario. Revisa el dashboard semanalmente. Usa las categorías para identificar áreas de mejora. Fija un objetivo de ahorro realista y desafiante.</t>
  </si>
  <si>
    <t>❓ Preguntas frecuentes (FAQ)</t>
  </si>
  <si>
    <t>¿Puedo añadir más meses o años? Sí, duplica filas en “Datos” y ajusta los nombres. ¿Borraste una fórmula? Contacta soporte. ¿Funciona en móvil/tablet? Sí, compatible con Excel y Google Sheets. ¿Cambios personalizados? Consulta soporte.</t>
  </si>
  <si>
    <t>🤝 Soporte y ayuda personalizada</t>
  </si>
  <si>
    <t>Durante 45 días tras tu compra tienes ayuda y soporte directo para dudas, problemas o sugerencias. Podemos realizar pequeñas modificaciones según tus necesidades, sin coste adicional.</t>
  </si>
  <si>
    <t>📧 Contacto</t>
  </si>
  <si>
    <t>🏆 Mensaje final</t>
  </si>
  <si>
    <t>El éxito financiero es cuestión de constancia y buenos hábitos. Esta plantilla es tu aliada para lograrlo.</t>
  </si>
  <si>
    <t>1. Personaliza tu plantilla en la hoja “Configuración”: ajusta moneda, nombre, mes actual, categorías y métodos de pago.                                                                                                                 2. Registra tus movimientos en “Ingresos” y “Gastos”.                                                                             3. Consulta tu “Dashboard” para ver tu resumen financiero.</t>
  </si>
  <si>
    <t>💰 Ingresos Acumulados</t>
  </si>
  <si>
    <t>💸 Gastos Acumulados</t>
  </si>
  <si>
    <t>📦 Ahorro Acumulado</t>
  </si>
  <si>
    <t xml:space="preserve"> DASHBOARD FINANCIERO</t>
  </si>
  <si>
    <t>Subcategoria</t>
  </si>
  <si>
    <t>Subcategorias</t>
  </si>
  <si>
    <t>Alimentacion</t>
  </si>
  <si>
    <t>Supermercado</t>
  </si>
  <si>
    <t>Mercado</t>
  </si>
  <si>
    <t>Restaurantes</t>
  </si>
  <si>
    <t>Comida a domicilio</t>
  </si>
  <si>
    <t>Abono transporte</t>
  </si>
  <si>
    <t>Seguro del coche</t>
  </si>
  <si>
    <t>ITV</t>
  </si>
  <si>
    <t>Mantenimiento del coche</t>
  </si>
  <si>
    <t>Peajes / aparcamiento</t>
  </si>
  <si>
    <t>Hipoteca / Alquiler</t>
  </si>
  <si>
    <t>Comunidad</t>
  </si>
  <si>
    <t>IBI</t>
  </si>
  <si>
    <t>Seguro del hogar</t>
  </si>
  <si>
    <t>Luz</t>
  </si>
  <si>
    <t>Agua</t>
  </si>
  <si>
    <t>Gas</t>
  </si>
  <si>
    <t>Mantenimiento del hogar</t>
  </si>
  <si>
    <t>Farmacia</t>
  </si>
  <si>
    <t>Consultas privadas</t>
  </si>
  <si>
    <t>Cine / teatro / libros</t>
  </si>
  <si>
    <t>Suscripciones</t>
  </si>
  <si>
    <t>Mascotas</t>
  </si>
  <si>
    <t>Regalos</t>
  </si>
  <si>
    <t>Donaciones</t>
  </si>
  <si>
    <t>Imprevistos</t>
  </si>
  <si>
    <t>Gasolina / diesel</t>
  </si>
  <si>
    <t>Internet / movil</t>
  </si>
  <si>
    <t>Seguro medico</t>
  </si>
  <si>
    <t>Correo: jfigueroarodriguez44@outlook.es  (Horario: L-V, 9:00-18:00 CET)  https://finanzas-figueroa.github.io/Plantilla-finanzas-excel/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</si>
</sst>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€-2]\ * #,##0.00_-;\-[$€-2]\ * #,##0.00_-;_-[$€-2]\ * &quot;-&quot;??_-;_-@_-"/>
    <numFmt numFmtId="165" formatCode="#,##0.00\ &quot;€&quot;"/>
  </numFmts>
  <fonts count="20">
    <font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0"/>
      <color theme="1"/>
      <name val="Arial Unicode MS"/>
    </font>
    <font>
      <b/>
      <sz val="12"/>
      <color theme="3" tint="9.9978637043366805E-2"/>
      <name val="Segoe UI"/>
      <family val="2"/>
    </font>
    <font>
      <b/>
      <sz val="16"/>
      <name val="Segoe UI"/>
      <family val="2"/>
    </font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12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22"/>
      <color rgb="FF3A7BFF"/>
      <name val="Aptos Display"/>
      <family val="2"/>
      <scheme val="major"/>
    </font>
    <font>
      <sz val="11"/>
      <name val="Aptos Narrow"/>
      <family val="2"/>
      <scheme val="minor"/>
    </font>
    <font>
      <b/>
      <sz val="16"/>
      <color rgb="FFBE1515"/>
      <name val="Aptos Narrow"/>
      <family val="2"/>
      <scheme val="minor"/>
    </font>
    <font>
      <sz val="12"/>
      <color theme="1"/>
      <name val="Arial Unicode MS"/>
    </font>
    <font>
      <sz val="12"/>
      <name val="Arial"/>
      <family val="2"/>
    </font>
    <font>
      <b/>
      <sz val="12"/>
      <color theme="2" tint="-0.89999084444715716"/>
      <name val="Segoe UI"/>
      <family val="2"/>
    </font>
    <font>
      <sz val="11"/>
      <color rgb="FF000000"/>
      <name val="Aptos Narrow"/>
      <family val="2"/>
      <scheme val="minor"/>
    </font>
    <font>
      <b/>
      <sz val="10"/>
      <color theme="1"/>
      <name val="Segoe UI"/>
      <family val="2"/>
    </font>
    <font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 tint="0.249977111117893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 indent="1"/>
    </xf>
    <xf numFmtId="0" fontId="0" fillId="0" borderId="1" xfId="0" applyBorder="1"/>
    <xf numFmtId="44" fontId="0" fillId="0" borderId="0" xfId="1" applyFont="1"/>
    <xf numFmtId="0" fontId="10" fillId="0" borderId="0" xfId="0" applyFont="1"/>
    <xf numFmtId="0" fontId="9" fillId="0" borderId="0" xfId="0" applyFont="1" applyAlignment="1">
      <alignment wrapText="1"/>
    </xf>
    <xf numFmtId="0" fontId="10" fillId="0" borderId="0" xfId="0" applyFont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center" indent="1"/>
    </xf>
    <xf numFmtId="0" fontId="11" fillId="0" borderId="0" xfId="0" applyFont="1"/>
    <xf numFmtId="0" fontId="0" fillId="7" borderId="0" xfId="0" applyFill="1"/>
    <xf numFmtId="44" fontId="0" fillId="7" borderId="0" xfId="1" applyFont="1" applyFill="1"/>
    <xf numFmtId="0" fontId="14" fillId="7" borderId="0" xfId="0" applyFont="1" applyFill="1" applyAlignment="1">
      <alignment horizontal="left" vertical="center" indent="1"/>
    </xf>
    <xf numFmtId="44" fontId="7" fillId="7" borderId="0" xfId="1" applyFont="1" applyFill="1"/>
    <xf numFmtId="0" fontId="7" fillId="7" borderId="0" xfId="0" applyFont="1" applyFill="1"/>
    <xf numFmtId="0" fontId="17" fillId="0" borderId="0" xfId="0" applyFont="1"/>
    <xf numFmtId="44" fontId="17" fillId="0" borderId="0" xfId="1" applyFont="1"/>
    <xf numFmtId="0" fontId="1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9" fillId="0" borderId="0" xfId="0" applyFont="1" applyAlignment="1" applyProtection="1">
      <alignment horizontal="left"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7" fillId="6" borderId="0" xfId="0" applyFont="1" applyFill="1"/>
    <xf numFmtId="164" fontId="7" fillId="6" borderId="0" xfId="0" applyNumberFormat="1" applyFont="1" applyFill="1"/>
    <xf numFmtId="0" fontId="15" fillId="6" borderId="0" xfId="0" applyFont="1" applyFill="1"/>
    <xf numFmtId="0" fontId="0" fillId="6" borderId="0" xfId="0" applyFill="1" applyAlignment="1">
      <alignment horizontal="left"/>
    </xf>
    <xf numFmtId="0" fontId="0" fillId="6" borderId="0" xfId="0" applyFill="1"/>
    <xf numFmtId="14" fontId="17" fillId="0" borderId="0" xfId="0" applyNumberFormat="1" applyFont="1" applyAlignment="1" applyProtection="1">
      <alignment horizontal="left"/>
      <protection locked="0"/>
    </xf>
    <xf numFmtId="0" fontId="17" fillId="0" borderId="0" xfId="0" applyFont="1" applyProtection="1">
      <protection locked="0"/>
    </xf>
    <xf numFmtId="44" fontId="17" fillId="0" borderId="0" xfId="1" applyFont="1" applyProtection="1">
      <protection locked="0"/>
    </xf>
    <xf numFmtId="0" fontId="17" fillId="0" borderId="0" xfId="0" applyFont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0" fillId="0" borderId="0" xfId="0" applyAlignment="1">
      <alignment wrapText="1"/>
    </xf>
    <xf numFmtId="0" fontId="8" fillId="6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5" fontId="4" fillId="3" borderId="0" xfId="0" applyNumberFormat="1" applyFont="1" applyFill="1" applyAlignment="1">
      <alignment horizontal="center" vertical="center"/>
    </xf>
    <xf numFmtId="165" fontId="4" fillId="4" borderId="0" xfId="0" applyNumberFormat="1" applyFont="1" applyFill="1" applyAlignment="1">
      <alignment horizontal="center" vertical="center"/>
    </xf>
    <xf numFmtId="165" fontId="4" fillId="5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20"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protection locked="1" hidden="0"/>
    </dxf>
    <dxf>
      <alignment horizontal="left" vertical="bottom" textRotation="0" wrapText="0" indent="0" justifyLastLine="0" shrinkToFit="0" readingOrder="0"/>
      <protection locked="0" hidden="0"/>
    </dxf>
    <dxf>
      <numFmt numFmtId="164" formatCode="_-[$€-2]\ * #,##0.00_-;\-[$€-2]\ * #,##0.00_-;_-[$€-2]\ * &quot;-&quot;??_-;_-@_-"/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protection locked="1" hidden="0"/>
    </dxf>
    <dxf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0000"/>
      <color rgb="FF800000"/>
      <color rgb="FF3A7BFF"/>
      <color rgb="FFFF6B6B"/>
      <color rgb="FFFF3300"/>
      <color rgb="FFCC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Segoe UI" panose="020B0502040204020203" pitchFamily="34" charset="0"/>
                <a:cs typeface="Segoe UI" panose="020B0502040204020203" pitchFamily="34" charset="0"/>
              </a:rPr>
              <a:t>Balance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8382354443971916E-2"/>
          <c:y val="0.23643272873333282"/>
          <c:w val="0.88346789984585261"/>
          <c:h val="0.50988649971916367"/>
        </c:manualLayout>
      </c:layout>
      <c:lineChart>
        <c:grouping val="stacked"/>
        <c:varyColors val="0"/>
        <c:ser>
          <c:idx val="2"/>
          <c:order val="0"/>
          <c:tx>
            <c:strRef>
              <c:f>Datos!$D$10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Datos!$A$11:$A$22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Datos!$D$11:$D$22</c:f>
              <c:numCache>
                <c:formatCode>General</c:formatCode>
                <c:ptCount val="12"/>
                <c:pt idx="0">
                  <c:v>0</c:v>
                </c:pt>
                <c:pt idx="1">
                  <c:v>510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DFA-421A-895D-B339B6487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5711"/>
        <c:axId val="11077151"/>
      </c:lineChart>
      <c:catAx>
        <c:axId val="1107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77151"/>
        <c:crosses val="autoZero"/>
        <c:auto val="1"/>
        <c:lblAlgn val="ctr"/>
        <c:lblOffset val="100"/>
        <c:noMultiLvlLbl val="0"/>
      </c:catAx>
      <c:valAx>
        <c:axId val="1107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07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Segoe UI" panose="020B0502040204020203" pitchFamily="34" charset="0"/>
                <a:cs typeface="Segoe UI" panose="020B0502040204020203" pitchFamily="34" charset="0"/>
              </a:rPr>
              <a:t>Gastos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6.6469729646832468E-2"/>
          <c:y val="0.1184657524957503"/>
          <c:w val="0.90297462817147855"/>
          <c:h val="0.721258019830854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Datos!$A$2:$A$7</c:f>
              <c:strCache>
                <c:ptCount val="6"/>
                <c:pt idx="0">
                  <c:v>Alimentacion</c:v>
                </c:pt>
                <c:pt idx="1">
                  <c:v>Transporte</c:v>
                </c:pt>
                <c:pt idx="2">
                  <c:v>Vivienda</c:v>
                </c:pt>
                <c:pt idx="3">
                  <c:v>Salud</c:v>
                </c:pt>
                <c:pt idx="4">
                  <c:v>Ocio</c:v>
                </c:pt>
                <c:pt idx="5">
                  <c:v>Otros</c:v>
                </c:pt>
              </c:strCache>
            </c:strRef>
          </c:cat>
          <c:val>
            <c:numRef>
              <c:f>Datos!$B$2:$B$7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750</c:v>
                </c:pt>
                <c:pt idx="3">
                  <c:v>35</c:v>
                </c:pt>
                <c:pt idx="4">
                  <c:v>45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C-46E9-8819-23AFFC3FE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84479"/>
        <c:axId val="10984959"/>
      </c:barChart>
      <c:catAx>
        <c:axId val="10984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84959"/>
        <c:crosses val="autoZero"/>
        <c:auto val="1"/>
        <c:lblAlgn val="ctr"/>
        <c:lblOffset val="100"/>
        <c:noMultiLvlLbl val="0"/>
      </c:catAx>
      <c:valAx>
        <c:axId val="1098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178341</xdr:rowOff>
    </xdr:from>
    <xdr:to>
      <xdr:col>5</xdr:col>
      <xdr:colOff>1</xdr:colOff>
      <xdr:row>3</xdr:row>
      <xdr:rowOff>8106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E58AF5-67D7-DB8A-A10B-219704540B2D}"/>
            </a:ext>
          </a:extLst>
        </xdr:cNvPr>
        <xdr:cNvSpPr/>
      </xdr:nvSpPr>
      <xdr:spPr>
        <a:xfrm>
          <a:off x="1" y="178341"/>
          <a:ext cx="4036979" cy="478276"/>
        </a:xfrm>
        <a:prstGeom prst="roundRect">
          <a:avLst>
            <a:gd name="adj" fmla="val 77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0</xdr:rowOff>
    </xdr:from>
    <xdr:to>
      <xdr:col>5</xdr:col>
      <xdr:colOff>7620</xdr:colOff>
      <xdr:row>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A20D5E4-AFC1-6AB7-23A9-48AEDF45481A}"/>
            </a:ext>
          </a:extLst>
        </xdr:cNvPr>
        <xdr:cNvSpPr/>
      </xdr:nvSpPr>
      <xdr:spPr>
        <a:xfrm>
          <a:off x="15240" y="182880"/>
          <a:ext cx="4061460" cy="449580"/>
        </a:xfrm>
        <a:prstGeom prst="roundRect">
          <a:avLst>
            <a:gd name="adj" fmla="val 5834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260581</xdr:colOff>
      <xdr:row>3</xdr:row>
      <xdr:rowOff>0</xdr:rowOff>
    </xdr:from>
    <xdr:to>
      <xdr:col>11</xdr:col>
      <xdr:colOff>0</xdr:colOff>
      <xdr:row>4</xdr:row>
      <xdr:rowOff>342900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97B27DA4-DBA0-EDD6-9EBF-D3D300C8A30B}"/>
            </a:ext>
          </a:extLst>
        </xdr:cNvPr>
        <xdr:cNvSpPr/>
      </xdr:nvSpPr>
      <xdr:spPr>
        <a:xfrm>
          <a:off x="8441223" y="544850"/>
          <a:ext cx="2586062" cy="694288"/>
        </a:xfrm>
        <a:prstGeom prst="roundRect">
          <a:avLst>
            <a:gd name="adj" fmla="val 3807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3948</xdr:colOff>
      <xdr:row>2</xdr:row>
      <xdr:rowOff>177668</xdr:rowOff>
    </xdr:from>
    <xdr:to>
      <xdr:col>8</xdr:col>
      <xdr:colOff>11845</xdr:colOff>
      <xdr:row>5</xdr:row>
      <xdr:rowOff>7895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569C854-DC5B-C8E6-64F9-A4BBC967B18D}"/>
            </a:ext>
          </a:extLst>
        </xdr:cNvPr>
        <xdr:cNvSpPr/>
      </xdr:nvSpPr>
      <xdr:spPr>
        <a:xfrm>
          <a:off x="5610373" y="540901"/>
          <a:ext cx="2582114" cy="714621"/>
        </a:xfrm>
        <a:prstGeom prst="roundRect">
          <a:avLst>
            <a:gd name="adj" fmla="val 479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2</xdr:row>
      <xdr:rowOff>172720</xdr:rowOff>
    </xdr:from>
    <xdr:to>
      <xdr:col>2</xdr:col>
      <xdr:colOff>10160</xdr:colOff>
      <xdr:row>5</xdr:row>
      <xdr:rowOff>10160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602AD0D-E194-B554-704D-3BB901BDEC6B}"/>
            </a:ext>
          </a:extLst>
        </xdr:cNvPr>
        <xdr:cNvSpPr/>
      </xdr:nvSpPr>
      <xdr:spPr>
        <a:xfrm>
          <a:off x="0" y="541688"/>
          <a:ext cx="2584918" cy="719756"/>
        </a:xfrm>
        <a:prstGeom prst="roundRect">
          <a:avLst>
            <a:gd name="adj" fmla="val 595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217150</xdr:colOff>
      <xdr:row>2</xdr:row>
      <xdr:rowOff>177668</xdr:rowOff>
    </xdr:from>
    <xdr:to>
      <xdr:col>5</xdr:col>
      <xdr:colOff>12700</xdr:colOff>
      <xdr:row>5</xdr:row>
      <xdr:rowOff>12699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998C8DF-652E-A2AC-3B6D-4ABD85531416}"/>
            </a:ext>
          </a:extLst>
        </xdr:cNvPr>
        <xdr:cNvSpPr/>
      </xdr:nvSpPr>
      <xdr:spPr>
        <a:xfrm>
          <a:off x="2791368" y="540901"/>
          <a:ext cx="2590866" cy="719425"/>
        </a:xfrm>
        <a:prstGeom prst="roundRect">
          <a:avLst>
            <a:gd name="adj" fmla="val 5142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7</xdr:row>
      <xdr:rowOff>20254</xdr:rowOff>
    </xdr:from>
    <xdr:to>
      <xdr:col>6</xdr:col>
      <xdr:colOff>12700</xdr:colOff>
      <xdr:row>21</xdr:row>
      <xdr:rowOff>165100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41D9E3-B5D0-43A8-DD9E-D77E63B58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</xdr:row>
      <xdr:rowOff>131679</xdr:rowOff>
    </xdr:from>
    <xdr:to>
      <xdr:col>11</xdr:col>
      <xdr:colOff>12700</xdr:colOff>
      <xdr:row>21</xdr:row>
      <xdr:rowOff>165100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38149A-61AF-BA47-8E9E-2E514FC6A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F1FBED-314F-4B71-86DA-3C838735A164}" name="Tabla4" displayName="Tabla4" ref="A1:B11" totalsRowShown="0">
  <autoFilter ref="A1:B11" xr:uid="{57F1FBED-314F-4B71-86DA-3C838735A164}"/>
  <tableColumns count="2">
    <tableColumn id="1" xr3:uid="{5F78A5A0-E345-44B1-B5F5-76E15EB2535A}" name="Sección" dataDxfId="19"/>
    <tableColumn id="2" xr3:uid="{1F2CDB0F-F291-4739-8FBF-BCE4BFDD8CDC}" name="Instrucción / Informació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5EF65B-8DAF-458D-9AE2-ACDA24168B01}" name="Tabla1" displayName="Tabla1" ref="A5:G501" totalsRowShown="0" headerRowDxfId="17" dataDxfId="16">
  <autoFilter ref="A5:G501" xr:uid="{D35EF65B-8DAF-458D-9AE2-ACDA24168B01}"/>
  <tableColumns count="7">
    <tableColumn id="1" xr3:uid="{44F92A8A-9FA4-4A6E-8319-D9671B06B862}" name="ID" dataDxfId="15"/>
    <tableColumn id="2" xr3:uid="{D60225E8-A6D4-41C8-8547-1BCA01DDCD6D}" name="Fecha" dataDxfId="14"/>
    <tableColumn id="3" xr3:uid="{012BD75E-902F-4145-B0D9-38CD69CA0636}" name="Categoría" dataDxfId="13"/>
    <tableColumn id="4" xr3:uid="{BB5AD36B-0913-49A2-B112-39B86D09D739}" name="Descripción" dataDxfId="12"/>
    <tableColumn id="5" xr3:uid="{EC9ED483-74F0-4990-8BE8-E0AA928CEA2F}" name="Monto" dataDxfId="11"/>
    <tableColumn id="6" xr3:uid="{4C09B30E-4910-40BB-99C1-62391A6AF7B9}" name="Método de pago" dataDxfId="10"/>
    <tableColumn id="7" xr3:uid="{5BFC54D0-AD63-4575-881C-AC48D340F574}" name="Mes" dataDxfId="9">
      <calculatedColumnFormula>IF(B6="","",MONTH(B6))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C8ABE0-DE42-480D-8015-A6B312F42EC0}" name="Tabla2" displayName="Tabla2" ref="A5:G501" totalsRowShown="0" headerRowDxfId="8" dataDxfId="7">
  <autoFilter ref="A5:G501" xr:uid="{94C8ABE0-DE42-480D-8015-A6B312F42EC0}"/>
  <tableColumns count="7">
    <tableColumn id="1" xr3:uid="{C27D5D3C-07C9-430D-9E40-A64C8D1A5B01}" name="ID" dataDxfId="6"/>
    <tableColumn id="2" xr3:uid="{5965FB6D-B589-4C1D-BAB5-12C6D72B3634}" name="Fecha" dataDxfId="5"/>
    <tableColumn id="3" xr3:uid="{52670EB9-FE2A-4ADB-85F9-5D9E34D0C71A}" name="Categoría" dataDxfId="4"/>
    <tableColumn id="4" xr3:uid="{3031330D-E29B-4F3A-963B-221A2623C8AE}" name="Subcategoria" dataDxfId="3"/>
    <tableColumn id="5" xr3:uid="{7B99E01B-3E52-48A8-BC0C-DFA21086E90C}" name="Monto" dataDxfId="2" dataCellStyle="Moneda"/>
    <tableColumn id="6" xr3:uid="{1AE29D55-8ACA-4643-9461-5823F3AC49FC}" name="Método de pago" dataDxfId="1"/>
    <tableColumn id="7" xr3:uid="{D96D8443-2284-4C94-ADD2-3F9D9E98BC8F}" name="Mes" dataDxfId="0">
      <calculatedColumnFormula>IF(B6="","",MONTH(B6))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C47FD-FC59-4D34-A14E-7EF2F9F26B93}">
  <sheetPr codeName="Hoja1"/>
  <dimension ref="A1:B11"/>
  <sheetViews>
    <sheetView showGridLines="0" tabSelected="1" zoomScale="72" workbookViewId="0">
      <selection activeCell="B4" sqref="B4"/>
    </sheetView>
  </sheetViews>
  <sheetFormatPr baseColWidth="10" defaultRowHeight="14.4"/>
  <cols>
    <col min="1" max="1" width="49.5546875" customWidth="1"/>
    <col min="2" max="2" width="94" customWidth="1"/>
  </cols>
  <sheetData>
    <row r="1" spans="1:2">
      <c r="A1" t="s">
        <v>74</v>
      </c>
      <c r="B1" t="s">
        <v>75</v>
      </c>
    </row>
    <row r="2" spans="1:2" ht="23.4">
      <c r="A2" s="5" t="s">
        <v>76</v>
      </c>
      <c r="B2" s="6" t="s">
        <v>77</v>
      </c>
    </row>
    <row r="3" spans="1:2" ht="54">
      <c r="A3" s="7" t="s">
        <v>78</v>
      </c>
      <c r="B3" s="8" t="s">
        <v>79</v>
      </c>
    </row>
    <row r="4" spans="1:2" ht="72">
      <c r="A4" s="7" t="s">
        <v>80</v>
      </c>
      <c r="B4" s="8" t="s">
        <v>94</v>
      </c>
    </row>
    <row r="5" spans="1:2" ht="54">
      <c r="A5" s="7" t="s">
        <v>81</v>
      </c>
      <c r="B5" s="8" t="s">
        <v>82</v>
      </c>
    </row>
    <row r="6" spans="1:2" ht="54">
      <c r="A6" s="7" t="s">
        <v>83</v>
      </c>
      <c r="B6" s="8" t="s">
        <v>84</v>
      </c>
    </row>
    <row r="7" spans="1:2" ht="36">
      <c r="A7" s="7" t="s">
        <v>85</v>
      </c>
      <c r="B7" s="8" t="s">
        <v>86</v>
      </c>
    </row>
    <row r="8" spans="1:2" ht="54">
      <c r="A8" s="7" t="s">
        <v>87</v>
      </c>
      <c r="B8" s="8" t="s">
        <v>88</v>
      </c>
    </row>
    <row r="9" spans="1:2" ht="54">
      <c r="A9" s="7" t="s">
        <v>89</v>
      </c>
      <c r="B9" s="8" t="s">
        <v>90</v>
      </c>
    </row>
    <row r="10" spans="1:2" ht="36">
      <c r="A10" s="7" t="s">
        <v>91</v>
      </c>
      <c r="B10" s="8" t="s">
        <v>130</v>
      </c>
    </row>
    <row r="11" spans="1:2" ht="36">
      <c r="A11" s="7" t="s">
        <v>92</v>
      </c>
      <c r="B11" s="21" t="s">
        <v>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32ADE-4499-4B7B-B43F-C357BA6F338C}">
  <sheetPr codeName="Hoja2"/>
  <dimension ref="A1:F54"/>
  <sheetViews>
    <sheetView topLeftCell="A16" workbookViewId="0">
      <selection activeCell="A21" sqref="A21"/>
    </sheetView>
  </sheetViews>
  <sheetFormatPr baseColWidth="10" defaultRowHeight="14.4"/>
  <cols>
    <col min="1" max="1" width="28.21875" customWidth="1"/>
    <col min="4" max="4" width="23.33203125" customWidth="1"/>
  </cols>
  <sheetData>
    <row r="1" spans="1:6" ht="25.8">
      <c r="A1" s="36" t="s">
        <v>0</v>
      </c>
      <c r="B1" s="36"/>
      <c r="C1" s="36"/>
      <c r="D1" s="36"/>
      <c r="E1" s="36"/>
      <c r="F1" s="36"/>
    </row>
    <row r="2" spans="1:6" ht="38.4" customHeight="1">
      <c r="A2" s="37" t="s">
        <v>1</v>
      </c>
      <c r="B2" s="37"/>
      <c r="C2" s="37"/>
    </row>
    <row r="5" spans="1:6">
      <c r="A5" s="2" t="s">
        <v>3</v>
      </c>
    </row>
    <row r="6" spans="1:6">
      <c r="A6" t="s">
        <v>4</v>
      </c>
      <c r="B6" t="s">
        <v>2</v>
      </c>
    </row>
    <row r="8" spans="1:6">
      <c r="A8" s="2" t="s">
        <v>6</v>
      </c>
    </row>
    <row r="9" spans="1:6">
      <c r="A9" s="2" t="s">
        <v>5</v>
      </c>
    </row>
    <row r="10" spans="1:6">
      <c r="A10" s="2" t="s">
        <v>10</v>
      </c>
    </row>
    <row r="11" spans="1:6">
      <c r="A11" s="2" t="s">
        <v>7</v>
      </c>
    </row>
    <row r="12" spans="1:6">
      <c r="A12" s="2" t="s">
        <v>8</v>
      </c>
    </row>
    <row r="13" spans="1:6">
      <c r="A13" s="2" t="s">
        <v>9</v>
      </c>
    </row>
    <row r="14" spans="1:6">
      <c r="A14" s="2"/>
    </row>
    <row r="15" spans="1:6">
      <c r="A15" t="s">
        <v>11</v>
      </c>
      <c r="D15" t="s">
        <v>100</v>
      </c>
    </row>
    <row r="16" spans="1:6" ht="15">
      <c r="A16" s="2" t="s">
        <v>5</v>
      </c>
      <c r="D16" s="18" t="s">
        <v>101</v>
      </c>
    </row>
    <row r="17" spans="1:4" ht="15">
      <c r="A17" s="2" t="s">
        <v>101</v>
      </c>
      <c r="D17" s="19" t="s">
        <v>102</v>
      </c>
    </row>
    <row r="18" spans="1:4" ht="15">
      <c r="A18" s="2" t="s">
        <v>12</v>
      </c>
      <c r="D18" s="19" t="s">
        <v>103</v>
      </c>
    </row>
    <row r="19" spans="1:4" ht="15">
      <c r="A19" s="2" t="s">
        <v>13</v>
      </c>
      <c r="D19" s="19" t="s">
        <v>104</v>
      </c>
    </row>
    <row r="20" spans="1:4" ht="15">
      <c r="A20" s="2" t="s">
        <v>14</v>
      </c>
      <c r="D20" s="19" t="s">
        <v>105</v>
      </c>
    </row>
    <row r="21" spans="1:4">
      <c r="A21" s="2" t="s">
        <v>15</v>
      </c>
      <c r="D21" s="20"/>
    </row>
    <row r="22" spans="1:4" ht="15">
      <c r="A22" s="2" t="s">
        <v>9</v>
      </c>
      <c r="D22" s="18" t="s">
        <v>12</v>
      </c>
    </row>
    <row r="23" spans="1:4" ht="15">
      <c r="D23" s="19" t="s">
        <v>106</v>
      </c>
    </row>
    <row r="24" spans="1:4" ht="15.6" customHeight="1">
      <c r="A24" s="1" t="s">
        <v>16</v>
      </c>
      <c r="D24" s="19" t="s">
        <v>127</v>
      </c>
    </row>
    <row r="25" spans="1:4" ht="15">
      <c r="A25" s="2" t="s">
        <v>17</v>
      </c>
      <c r="B25">
        <v>300</v>
      </c>
      <c r="D25" s="19" t="s">
        <v>107</v>
      </c>
    </row>
    <row r="26" spans="1:4" ht="15">
      <c r="D26" s="19" t="s">
        <v>108</v>
      </c>
    </row>
    <row r="27" spans="1:4" ht="15">
      <c r="A27" s="2" t="s">
        <v>18</v>
      </c>
      <c r="D27" s="19" t="s">
        <v>109</v>
      </c>
    </row>
    <row r="28" spans="1:4" ht="15">
      <c r="A28" t="s">
        <v>19</v>
      </c>
      <c r="B28" t="s">
        <v>21</v>
      </c>
      <c r="D28" s="19" t="s">
        <v>110</v>
      </c>
    </row>
    <row r="29" spans="1:4">
      <c r="A29" t="s">
        <v>20</v>
      </c>
      <c r="B29" t="s">
        <v>22</v>
      </c>
      <c r="D29" s="20"/>
    </row>
    <row r="30" spans="1:4" ht="15">
      <c r="D30" s="18" t="s">
        <v>13</v>
      </c>
    </row>
    <row r="31" spans="1:4" ht="15">
      <c r="D31" s="19" t="s">
        <v>111</v>
      </c>
    </row>
    <row r="32" spans="1:4" ht="15">
      <c r="A32" s="2" t="s">
        <v>23</v>
      </c>
      <c r="D32" s="19" t="s">
        <v>112</v>
      </c>
    </row>
    <row r="33" spans="1:4" ht="15">
      <c r="A33" t="s">
        <v>24</v>
      </c>
      <c r="B33" t="s">
        <v>25</v>
      </c>
      <c r="D33" s="19" t="s">
        <v>113</v>
      </c>
    </row>
    <row r="34" spans="1:4" ht="15">
      <c r="A34" t="s">
        <v>26</v>
      </c>
      <c r="B34" t="s">
        <v>27</v>
      </c>
      <c r="D34" s="19" t="s">
        <v>114</v>
      </c>
    </row>
    <row r="35" spans="1:4" ht="15">
      <c r="A35" t="s">
        <v>28</v>
      </c>
      <c r="B35" t="s">
        <v>29</v>
      </c>
      <c r="D35" s="19" t="s">
        <v>115</v>
      </c>
    </row>
    <row r="36" spans="1:4" ht="15">
      <c r="A36" t="s">
        <v>30</v>
      </c>
      <c r="B36" t="s">
        <v>31</v>
      </c>
      <c r="D36" s="19" t="s">
        <v>116</v>
      </c>
    </row>
    <row r="37" spans="1:4" ht="15">
      <c r="A37" t="s">
        <v>32</v>
      </c>
      <c r="B37" t="s">
        <v>33</v>
      </c>
      <c r="D37" s="19" t="s">
        <v>117</v>
      </c>
    </row>
    <row r="38" spans="1:4" ht="15">
      <c r="A38" t="s">
        <v>34</v>
      </c>
      <c r="B38" t="s">
        <v>35</v>
      </c>
      <c r="D38" s="19" t="s">
        <v>128</v>
      </c>
    </row>
    <row r="39" spans="1:4" ht="15">
      <c r="D39" s="19" t="s">
        <v>118</v>
      </c>
    </row>
    <row r="40" spans="1:4">
      <c r="A40" t="s">
        <v>48</v>
      </c>
      <c r="D40" s="20"/>
    </row>
    <row r="41" spans="1:4" ht="15">
      <c r="A41" t="s">
        <v>49</v>
      </c>
      <c r="D41" s="18" t="s">
        <v>14</v>
      </c>
    </row>
    <row r="42" spans="1:4" ht="15">
      <c r="A42" t="s">
        <v>50</v>
      </c>
      <c r="D42" s="19" t="s">
        <v>119</v>
      </c>
    </row>
    <row r="43" spans="1:4" ht="15">
      <c r="A43" t="s">
        <v>51</v>
      </c>
      <c r="D43" s="19" t="s">
        <v>129</v>
      </c>
    </row>
    <row r="44" spans="1:4" ht="15">
      <c r="A44" t="s">
        <v>47</v>
      </c>
      <c r="D44" s="19" t="s">
        <v>120</v>
      </c>
    </row>
    <row r="45" spans="1:4">
      <c r="D45" s="20"/>
    </row>
    <row r="46" spans="1:4" ht="15">
      <c r="D46" s="18" t="s">
        <v>15</v>
      </c>
    </row>
    <row r="47" spans="1:4" ht="15">
      <c r="D47" s="19" t="s">
        <v>121</v>
      </c>
    </row>
    <row r="48" spans="1:4" ht="15">
      <c r="D48" s="19" t="s">
        <v>122</v>
      </c>
    </row>
    <row r="49" spans="4:4">
      <c r="D49" s="20"/>
    </row>
    <row r="50" spans="4:4" ht="15">
      <c r="D50" s="18" t="s">
        <v>9</v>
      </c>
    </row>
    <row r="51" spans="4:4" ht="15">
      <c r="D51" s="19" t="s">
        <v>123</v>
      </c>
    </row>
    <row r="52" spans="4:4" ht="15">
      <c r="D52" s="19" t="s">
        <v>124</v>
      </c>
    </row>
    <row r="53" spans="4:4" ht="15">
      <c r="D53" s="19" t="s">
        <v>125</v>
      </c>
    </row>
    <row r="54" spans="4:4" ht="15">
      <c r="D54" s="19" t="s">
        <v>126</v>
      </c>
    </row>
  </sheetData>
  <mergeCells count="2">
    <mergeCell ref="A1:F1"/>
    <mergeCell ref="A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21C5-8C4A-44D0-9AA6-0C7F848BA4A9}">
  <sheetPr codeName="Hoja3"/>
  <dimension ref="A2:G501"/>
  <sheetViews>
    <sheetView zoomScale="97" zoomScaleNormal="100" workbookViewId="0">
      <selection activeCell="C8" sqref="C8"/>
    </sheetView>
  </sheetViews>
  <sheetFormatPr baseColWidth="10" defaultRowHeight="14.4"/>
  <cols>
    <col min="2" max="2" width="11.5546875" style="26"/>
    <col min="4" max="4" width="12.5546875" customWidth="1"/>
    <col min="5" max="5" width="14" customWidth="1"/>
    <col min="6" max="6" width="15.44140625" customWidth="1"/>
  </cols>
  <sheetData>
    <row r="2" spans="1:7" ht="21">
      <c r="A2" s="38" t="s">
        <v>36</v>
      </c>
      <c r="B2" s="39"/>
      <c r="C2" s="39"/>
      <c r="D2" s="27" t="s">
        <v>43</v>
      </c>
      <c r="E2" s="28">
        <f>SUM(E6:E501)</f>
        <v>1500</v>
      </c>
    </row>
    <row r="3" spans="1:7" ht="15.6">
      <c r="A3" s="29" t="s">
        <v>37</v>
      </c>
      <c r="B3" s="30"/>
      <c r="C3" s="31"/>
      <c r="D3" s="31"/>
      <c r="E3" s="31"/>
    </row>
    <row r="5" spans="1:7">
      <c r="A5" t="s">
        <v>38</v>
      </c>
      <c r="B5" s="26" t="s">
        <v>39</v>
      </c>
      <c r="C5" s="26" t="s">
        <v>5</v>
      </c>
      <c r="D5" t="s">
        <v>40</v>
      </c>
      <c r="E5" t="s">
        <v>41</v>
      </c>
      <c r="F5" t="s">
        <v>42</v>
      </c>
      <c r="G5" t="s">
        <v>58</v>
      </c>
    </row>
    <row r="6" spans="1:7">
      <c r="A6">
        <v>1</v>
      </c>
      <c r="B6" s="24">
        <v>46054</v>
      </c>
      <c r="C6" s="23" t="s">
        <v>10</v>
      </c>
      <c r="D6" s="22" t="s">
        <v>44</v>
      </c>
      <c r="E6" s="25">
        <v>1200</v>
      </c>
      <c r="F6" s="23" t="s">
        <v>46</v>
      </c>
      <c r="G6">
        <f>IF(B6="","",MONTH(B6))</f>
        <v>2</v>
      </c>
    </row>
    <row r="7" spans="1:7">
      <c r="A7">
        <v>2</v>
      </c>
      <c r="B7" s="24">
        <v>46054</v>
      </c>
      <c r="C7" s="23" t="s">
        <v>7</v>
      </c>
      <c r="D7" s="22" t="s">
        <v>45</v>
      </c>
      <c r="E7" s="25">
        <v>300</v>
      </c>
      <c r="F7" s="23" t="s">
        <v>47</v>
      </c>
      <c r="G7">
        <f t="shared" ref="G7:G70" si="0">IF(B7="","",MONTH(B7))</f>
        <v>2</v>
      </c>
    </row>
    <row r="8" spans="1:7">
      <c r="A8">
        <v>3</v>
      </c>
      <c r="B8" s="24"/>
      <c r="C8" s="23"/>
      <c r="D8" s="22"/>
      <c r="E8" s="25"/>
      <c r="F8" s="23"/>
      <c r="G8" t="str">
        <f t="shared" si="0"/>
        <v/>
      </c>
    </row>
    <row r="9" spans="1:7">
      <c r="B9" s="24"/>
      <c r="C9" s="23"/>
      <c r="D9" s="22"/>
      <c r="E9" s="25"/>
      <c r="F9" s="23"/>
      <c r="G9" t="str">
        <f>IF(B9="","",MONTH(B9))</f>
        <v/>
      </c>
    </row>
    <row r="10" spans="1:7">
      <c r="B10" s="23"/>
      <c r="C10" s="23"/>
      <c r="D10" s="22"/>
      <c r="E10" s="25"/>
      <c r="F10" s="23"/>
      <c r="G10" t="str">
        <f t="shared" si="0"/>
        <v/>
      </c>
    </row>
    <row r="11" spans="1:7">
      <c r="B11" s="23"/>
      <c r="C11" s="23"/>
      <c r="D11" s="22"/>
      <c r="E11" s="25"/>
      <c r="F11" s="23"/>
      <c r="G11" t="str">
        <f t="shared" si="0"/>
        <v/>
      </c>
    </row>
    <row r="12" spans="1:7">
      <c r="B12" s="23"/>
      <c r="C12" s="23"/>
      <c r="D12" s="22"/>
      <c r="E12" s="25"/>
      <c r="F12" s="23"/>
      <c r="G12" t="str">
        <f t="shared" si="0"/>
        <v/>
      </c>
    </row>
    <row r="13" spans="1:7">
      <c r="B13" s="23"/>
      <c r="C13" s="23"/>
      <c r="D13" s="22"/>
      <c r="E13" s="25"/>
      <c r="F13" s="23"/>
      <c r="G13" t="str">
        <f t="shared" si="0"/>
        <v/>
      </c>
    </row>
    <row r="14" spans="1:7">
      <c r="B14" s="23"/>
      <c r="C14" s="23"/>
      <c r="D14" s="22"/>
      <c r="E14" s="25"/>
      <c r="F14" s="23"/>
      <c r="G14" t="str">
        <f t="shared" si="0"/>
        <v/>
      </c>
    </row>
    <row r="15" spans="1:7">
      <c r="B15" s="23"/>
      <c r="C15" s="23"/>
      <c r="D15" s="22"/>
      <c r="E15" s="25"/>
      <c r="F15" s="23"/>
      <c r="G15" t="str">
        <f t="shared" si="0"/>
        <v/>
      </c>
    </row>
    <row r="16" spans="1:7">
      <c r="B16" s="23"/>
      <c r="C16" s="23"/>
      <c r="D16" s="22"/>
      <c r="E16" s="25"/>
      <c r="F16" s="23"/>
      <c r="G16" t="str">
        <f t="shared" si="0"/>
        <v/>
      </c>
    </row>
    <row r="17" spans="2:7">
      <c r="B17" s="23"/>
      <c r="C17" s="23"/>
      <c r="D17" s="22"/>
      <c r="E17" s="25"/>
      <c r="F17" s="23"/>
      <c r="G17" t="str">
        <f t="shared" si="0"/>
        <v/>
      </c>
    </row>
    <row r="18" spans="2:7">
      <c r="B18" s="23"/>
      <c r="C18" s="23"/>
      <c r="D18" s="22"/>
      <c r="E18" s="25"/>
      <c r="F18" s="23"/>
      <c r="G18" t="str">
        <f t="shared" si="0"/>
        <v/>
      </c>
    </row>
    <row r="19" spans="2:7">
      <c r="B19" s="23"/>
      <c r="C19" s="23"/>
      <c r="D19" s="22"/>
      <c r="E19" s="25"/>
      <c r="F19" s="23"/>
      <c r="G19" t="str">
        <f t="shared" si="0"/>
        <v/>
      </c>
    </row>
    <row r="20" spans="2:7">
      <c r="B20" s="23"/>
      <c r="C20" s="23"/>
      <c r="D20" s="22"/>
      <c r="E20" s="25"/>
      <c r="F20" s="23"/>
      <c r="G20" t="str">
        <f t="shared" si="0"/>
        <v/>
      </c>
    </row>
    <row r="21" spans="2:7">
      <c r="B21" s="23"/>
      <c r="C21" s="23"/>
      <c r="D21" s="22"/>
      <c r="E21" s="25"/>
      <c r="F21" s="23"/>
      <c r="G21" t="str">
        <f t="shared" si="0"/>
        <v/>
      </c>
    </row>
    <row r="22" spans="2:7">
      <c r="B22" s="23"/>
      <c r="C22" s="23"/>
      <c r="D22" s="22"/>
      <c r="E22" s="25"/>
      <c r="F22" s="23"/>
      <c r="G22" t="str">
        <f t="shared" si="0"/>
        <v/>
      </c>
    </row>
    <row r="23" spans="2:7">
      <c r="B23" s="23"/>
      <c r="C23" s="23"/>
      <c r="D23" s="22"/>
      <c r="E23" s="25"/>
      <c r="F23" s="23"/>
      <c r="G23" t="str">
        <f t="shared" si="0"/>
        <v/>
      </c>
    </row>
    <row r="24" spans="2:7">
      <c r="B24" s="23"/>
      <c r="C24" s="23"/>
      <c r="D24" s="22"/>
      <c r="E24" s="25"/>
      <c r="F24" s="23"/>
      <c r="G24" t="str">
        <f t="shared" si="0"/>
        <v/>
      </c>
    </row>
    <row r="25" spans="2:7">
      <c r="B25" s="23"/>
      <c r="C25" s="23"/>
      <c r="D25" s="22"/>
      <c r="E25" s="25"/>
      <c r="F25" s="23"/>
      <c r="G25" t="str">
        <f t="shared" si="0"/>
        <v/>
      </c>
    </row>
    <row r="26" spans="2:7">
      <c r="B26" s="23"/>
      <c r="C26" s="23"/>
      <c r="D26" s="22"/>
      <c r="E26" s="25"/>
      <c r="F26" s="23"/>
      <c r="G26" t="str">
        <f t="shared" si="0"/>
        <v/>
      </c>
    </row>
    <row r="27" spans="2:7">
      <c r="B27" s="23"/>
      <c r="C27" s="23"/>
      <c r="D27" s="22"/>
      <c r="E27" s="25"/>
      <c r="F27" s="23"/>
      <c r="G27" t="str">
        <f t="shared" si="0"/>
        <v/>
      </c>
    </row>
    <row r="28" spans="2:7">
      <c r="B28" s="23"/>
      <c r="C28" s="23"/>
      <c r="D28" s="22"/>
      <c r="E28" s="25"/>
      <c r="F28" s="23"/>
      <c r="G28" t="str">
        <f t="shared" si="0"/>
        <v/>
      </c>
    </row>
    <row r="29" spans="2:7">
      <c r="B29" s="23"/>
      <c r="C29" s="23"/>
      <c r="D29" s="22"/>
      <c r="E29" s="25"/>
      <c r="F29" s="23"/>
      <c r="G29" t="str">
        <f t="shared" si="0"/>
        <v/>
      </c>
    </row>
    <row r="30" spans="2:7">
      <c r="B30" s="23"/>
      <c r="C30" s="23"/>
      <c r="D30" s="22"/>
      <c r="E30" s="25"/>
      <c r="F30" s="23"/>
      <c r="G30" t="str">
        <f t="shared" si="0"/>
        <v/>
      </c>
    </row>
    <row r="31" spans="2:7">
      <c r="B31" s="23"/>
      <c r="C31" s="23"/>
      <c r="D31" s="22"/>
      <c r="E31" s="25"/>
      <c r="F31" s="23"/>
      <c r="G31" t="str">
        <f t="shared" si="0"/>
        <v/>
      </c>
    </row>
    <row r="32" spans="2:7">
      <c r="B32" s="23"/>
      <c r="C32" s="23"/>
      <c r="D32" s="22"/>
      <c r="E32" s="25"/>
      <c r="F32" s="23"/>
      <c r="G32" t="str">
        <f t="shared" si="0"/>
        <v/>
      </c>
    </row>
    <row r="33" spans="2:7">
      <c r="B33" s="23"/>
      <c r="C33" s="23"/>
      <c r="D33" s="22"/>
      <c r="E33" s="25"/>
      <c r="F33" s="23"/>
      <c r="G33" t="str">
        <f t="shared" si="0"/>
        <v/>
      </c>
    </row>
    <row r="34" spans="2:7">
      <c r="B34" s="23"/>
      <c r="C34" s="23"/>
      <c r="D34" s="22"/>
      <c r="E34" s="25"/>
      <c r="F34" s="23"/>
      <c r="G34" t="str">
        <f t="shared" si="0"/>
        <v/>
      </c>
    </row>
    <row r="35" spans="2:7">
      <c r="B35" s="23"/>
      <c r="C35" s="23"/>
      <c r="D35" s="22"/>
      <c r="E35" s="25"/>
      <c r="F35" s="23"/>
      <c r="G35" t="str">
        <f t="shared" si="0"/>
        <v/>
      </c>
    </row>
    <row r="36" spans="2:7">
      <c r="B36" s="23"/>
      <c r="C36" s="23"/>
      <c r="D36" s="22"/>
      <c r="E36" s="25"/>
      <c r="F36" s="23"/>
      <c r="G36" t="str">
        <f t="shared" si="0"/>
        <v/>
      </c>
    </row>
    <row r="37" spans="2:7">
      <c r="B37" s="23"/>
      <c r="C37" s="23"/>
      <c r="D37" s="22"/>
      <c r="E37" s="25"/>
      <c r="F37" s="23"/>
      <c r="G37" t="str">
        <f t="shared" si="0"/>
        <v/>
      </c>
    </row>
    <row r="38" spans="2:7">
      <c r="B38" s="23"/>
      <c r="C38" s="23"/>
      <c r="D38" s="22"/>
      <c r="E38" s="25"/>
      <c r="F38" s="23"/>
      <c r="G38" t="str">
        <f t="shared" si="0"/>
        <v/>
      </c>
    </row>
    <row r="39" spans="2:7">
      <c r="B39" s="23"/>
      <c r="C39" s="23"/>
      <c r="D39" s="22"/>
      <c r="E39" s="25"/>
      <c r="F39" s="23"/>
      <c r="G39" t="str">
        <f t="shared" si="0"/>
        <v/>
      </c>
    </row>
    <row r="40" spans="2:7">
      <c r="B40" s="23"/>
      <c r="C40" s="23"/>
      <c r="D40" s="22"/>
      <c r="E40" s="25"/>
      <c r="F40" s="23"/>
      <c r="G40" t="str">
        <f t="shared" si="0"/>
        <v/>
      </c>
    </row>
    <row r="41" spans="2:7">
      <c r="B41" s="23"/>
      <c r="C41" s="23"/>
      <c r="D41" s="22"/>
      <c r="E41" s="25"/>
      <c r="F41" s="23"/>
      <c r="G41" t="str">
        <f t="shared" si="0"/>
        <v/>
      </c>
    </row>
    <row r="42" spans="2:7">
      <c r="B42" s="23"/>
      <c r="C42" s="23"/>
      <c r="D42" s="22"/>
      <c r="E42" s="25"/>
      <c r="F42" s="23"/>
      <c r="G42" t="str">
        <f t="shared" si="0"/>
        <v/>
      </c>
    </row>
    <row r="43" spans="2:7">
      <c r="B43" s="23"/>
      <c r="C43" s="23"/>
      <c r="D43" s="22"/>
      <c r="E43" s="25"/>
      <c r="F43" s="23"/>
      <c r="G43" t="str">
        <f t="shared" si="0"/>
        <v/>
      </c>
    </row>
    <row r="44" spans="2:7">
      <c r="B44" s="23"/>
      <c r="C44" s="23"/>
      <c r="D44" s="22"/>
      <c r="E44" s="25"/>
      <c r="F44" s="23"/>
      <c r="G44" t="str">
        <f t="shared" si="0"/>
        <v/>
      </c>
    </row>
    <row r="45" spans="2:7">
      <c r="B45" s="23"/>
      <c r="C45" s="23"/>
      <c r="D45" s="22"/>
      <c r="E45" s="25"/>
      <c r="F45" s="23"/>
      <c r="G45" t="str">
        <f t="shared" si="0"/>
        <v/>
      </c>
    </row>
    <row r="46" spans="2:7">
      <c r="B46" s="23"/>
      <c r="C46" s="23"/>
      <c r="D46" s="22"/>
      <c r="E46" s="25"/>
      <c r="F46" s="23"/>
      <c r="G46" t="str">
        <f t="shared" si="0"/>
        <v/>
      </c>
    </row>
    <row r="47" spans="2:7">
      <c r="B47" s="23"/>
      <c r="C47" s="23"/>
      <c r="D47" s="22"/>
      <c r="E47" s="25"/>
      <c r="F47" s="23"/>
      <c r="G47" t="str">
        <f t="shared" si="0"/>
        <v/>
      </c>
    </row>
    <row r="48" spans="2:7">
      <c r="B48" s="23"/>
      <c r="C48" s="23"/>
      <c r="D48" s="22"/>
      <c r="E48" s="25"/>
      <c r="F48" s="23"/>
      <c r="G48" t="str">
        <f t="shared" si="0"/>
        <v/>
      </c>
    </row>
    <row r="49" spans="2:7">
      <c r="B49" s="23"/>
      <c r="C49" s="23"/>
      <c r="D49" s="22"/>
      <c r="E49" s="25"/>
      <c r="F49" s="23"/>
      <c r="G49" t="str">
        <f t="shared" si="0"/>
        <v/>
      </c>
    </row>
    <row r="50" spans="2:7">
      <c r="B50" s="23"/>
      <c r="C50" s="23"/>
      <c r="D50" s="22"/>
      <c r="E50" s="25"/>
      <c r="F50" s="23"/>
      <c r="G50" t="str">
        <f t="shared" si="0"/>
        <v/>
      </c>
    </row>
    <row r="51" spans="2:7">
      <c r="B51" s="23"/>
      <c r="C51" s="23"/>
      <c r="D51" s="22"/>
      <c r="E51" s="25"/>
      <c r="F51" s="23"/>
      <c r="G51" t="str">
        <f t="shared" si="0"/>
        <v/>
      </c>
    </row>
    <row r="52" spans="2:7">
      <c r="B52" s="23"/>
      <c r="C52" s="23"/>
      <c r="D52" s="22"/>
      <c r="E52" s="25"/>
      <c r="F52" s="23"/>
      <c r="G52" t="str">
        <f t="shared" si="0"/>
        <v/>
      </c>
    </row>
    <row r="53" spans="2:7">
      <c r="B53" s="23"/>
      <c r="C53" s="23"/>
      <c r="D53" s="22"/>
      <c r="E53" s="25"/>
      <c r="F53" s="23"/>
      <c r="G53" t="str">
        <f t="shared" si="0"/>
        <v/>
      </c>
    </row>
    <row r="54" spans="2:7">
      <c r="B54" s="23"/>
      <c r="C54" s="23"/>
      <c r="D54" s="22"/>
      <c r="E54" s="25"/>
      <c r="F54" s="23"/>
      <c r="G54" t="str">
        <f t="shared" si="0"/>
        <v/>
      </c>
    </row>
    <row r="55" spans="2:7">
      <c r="B55" s="23"/>
      <c r="C55" s="23"/>
      <c r="D55" s="22"/>
      <c r="E55" s="25"/>
      <c r="F55" s="23"/>
      <c r="G55" t="str">
        <f t="shared" si="0"/>
        <v/>
      </c>
    </row>
    <row r="56" spans="2:7">
      <c r="B56" s="23"/>
      <c r="C56" s="23"/>
      <c r="D56" s="22"/>
      <c r="E56" s="25"/>
      <c r="F56" s="23"/>
      <c r="G56" t="str">
        <f t="shared" si="0"/>
        <v/>
      </c>
    </row>
    <row r="57" spans="2:7">
      <c r="B57" s="23"/>
      <c r="C57" s="23"/>
      <c r="D57" s="22"/>
      <c r="E57" s="25"/>
      <c r="F57" s="23"/>
      <c r="G57" t="str">
        <f t="shared" si="0"/>
        <v/>
      </c>
    </row>
    <row r="58" spans="2:7">
      <c r="B58" s="23"/>
      <c r="C58" s="23"/>
      <c r="D58" s="22"/>
      <c r="E58" s="25"/>
      <c r="F58" s="23"/>
      <c r="G58" t="str">
        <f t="shared" si="0"/>
        <v/>
      </c>
    </row>
    <row r="59" spans="2:7">
      <c r="B59" s="23"/>
      <c r="C59" s="23"/>
      <c r="D59" s="22"/>
      <c r="E59" s="25"/>
      <c r="F59" s="23"/>
      <c r="G59" t="str">
        <f t="shared" si="0"/>
        <v/>
      </c>
    </row>
    <row r="60" spans="2:7">
      <c r="B60" s="23"/>
      <c r="C60" s="23"/>
      <c r="D60" s="22"/>
      <c r="E60" s="25"/>
      <c r="F60" s="23"/>
      <c r="G60" t="str">
        <f t="shared" si="0"/>
        <v/>
      </c>
    </row>
    <row r="61" spans="2:7">
      <c r="B61" s="23"/>
      <c r="C61" s="23"/>
      <c r="D61" s="22"/>
      <c r="E61" s="25"/>
      <c r="F61" s="23"/>
      <c r="G61" t="str">
        <f t="shared" si="0"/>
        <v/>
      </c>
    </row>
    <row r="62" spans="2:7">
      <c r="B62" s="23"/>
      <c r="C62" s="23"/>
      <c r="D62" s="22"/>
      <c r="E62" s="25"/>
      <c r="F62" s="23"/>
      <c r="G62" t="str">
        <f t="shared" si="0"/>
        <v/>
      </c>
    </row>
    <row r="63" spans="2:7">
      <c r="B63" s="23"/>
      <c r="C63" s="23"/>
      <c r="D63" s="22"/>
      <c r="E63" s="25"/>
      <c r="F63" s="23"/>
      <c r="G63" t="str">
        <f t="shared" si="0"/>
        <v/>
      </c>
    </row>
    <row r="64" spans="2:7">
      <c r="B64" s="23"/>
      <c r="C64" s="23"/>
      <c r="D64" s="22"/>
      <c r="E64" s="25"/>
      <c r="F64" s="23"/>
      <c r="G64" t="str">
        <f t="shared" si="0"/>
        <v/>
      </c>
    </row>
    <row r="65" spans="2:7">
      <c r="B65" s="23"/>
      <c r="C65" s="23"/>
      <c r="D65" s="22"/>
      <c r="E65" s="25"/>
      <c r="F65" s="23"/>
      <c r="G65" t="str">
        <f t="shared" si="0"/>
        <v/>
      </c>
    </row>
    <row r="66" spans="2:7">
      <c r="B66" s="23"/>
      <c r="C66" s="23"/>
      <c r="D66" s="22"/>
      <c r="E66" s="25"/>
      <c r="F66" s="23"/>
      <c r="G66" t="str">
        <f t="shared" si="0"/>
        <v/>
      </c>
    </row>
    <row r="67" spans="2:7">
      <c r="B67" s="23"/>
      <c r="C67" s="23"/>
      <c r="D67" s="22"/>
      <c r="E67" s="25"/>
      <c r="F67" s="23"/>
      <c r="G67" t="str">
        <f t="shared" si="0"/>
        <v/>
      </c>
    </row>
    <row r="68" spans="2:7">
      <c r="B68" s="23"/>
      <c r="C68" s="23"/>
      <c r="D68" s="22"/>
      <c r="E68" s="25"/>
      <c r="F68" s="23"/>
      <c r="G68" t="str">
        <f t="shared" si="0"/>
        <v/>
      </c>
    </row>
    <row r="69" spans="2:7">
      <c r="B69" s="23"/>
      <c r="C69" s="23"/>
      <c r="D69" s="22"/>
      <c r="E69" s="25"/>
      <c r="F69" s="23"/>
      <c r="G69" t="str">
        <f t="shared" si="0"/>
        <v/>
      </c>
    </row>
    <row r="70" spans="2:7">
      <c r="B70" s="23"/>
      <c r="C70" s="23"/>
      <c r="D70" s="22"/>
      <c r="E70" s="25"/>
      <c r="F70" s="23"/>
      <c r="G70" t="str">
        <f t="shared" si="0"/>
        <v/>
      </c>
    </row>
    <row r="71" spans="2:7">
      <c r="B71" s="23"/>
      <c r="C71" s="23"/>
      <c r="D71" s="22"/>
      <c r="E71" s="25"/>
      <c r="F71" s="23"/>
      <c r="G71" t="str">
        <f t="shared" ref="G71:G134" si="1">IF(B71="","",MONTH(B71))</f>
        <v/>
      </c>
    </row>
    <row r="72" spans="2:7">
      <c r="B72" s="23"/>
      <c r="C72" s="23"/>
      <c r="D72" s="22"/>
      <c r="E72" s="25"/>
      <c r="F72" s="23"/>
      <c r="G72" t="str">
        <f t="shared" si="1"/>
        <v/>
      </c>
    </row>
    <row r="73" spans="2:7">
      <c r="B73" s="23"/>
      <c r="C73" s="23"/>
      <c r="D73" s="22"/>
      <c r="E73" s="25"/>
      <c r="F73" s="23"/>
      <c r="G73" t="str">
        <f t="shared" si="1"/>
        <v/>
      </c>
    </row>
    <row r="74" spans="2:7">
      <c r="B74" s="23"/>
      <c r="C74" s="23"/>
      <c r="D74" s="22"/>
      <c r="E74" s="25"/>
      <c r="F74" s="23"/>
      <c r="G74" t="str">
        <f t="shared" si="1"/>
        <v/>
      </c>
    </row>
    <row r="75" spans="2:7">
      <c r="B75" s="23"/>
      <c r="C75" s="23"/>
      <c r="D75" s="22"/>
      <c r="E75" s="25"/>
      <c r="F75" s="23"/>
      <c r="G75" t="str">
        <f t="shared" si="1"/>
        <v/>
      </c>
    </row>
    <row r="76" spans="2:7">
      <c r="B76" s="23"/>
      <c r="C76" s="23"/>
      <c r="D76" s="22"/>
      <c r="E76" s="25"/>
      <c r="F76" s="23"/>
      <c r="G76" t="str">
        <f t="shared" si="1"/>
        <v/>
      </c>
    </row>
    <row r="77" spans="2:7">
      <c r="B77" s="23"/>
      <c r="C77" s="23"/>
      <c r="D77" s="22"/>
      <c r="E77" s="25"/>
      <c r="F77" s="23"/>
      <c r="G77" t="str">
        <f t="shared" si="1"/>
        <v/>
      </c>
    </row>
    <row r="78" spans="2:7">
      <c r="B78" s="23"/>
      <c r="C78" s="23"/>
      <c r="D78" s="22"/>
      <c r="E78" s="25"/>
      <c r="F78" s="23"/>
      <c r="G78" t="str">
        <f t="shared" si="1"/>
        <v/>
      </c>
    </row>
    <row r="79" spans="2:7">
      <c r="B79" s="23"/>
      <c r="C79" s="23"/>
      <c r="D79" s="22"/>
      <c r="E79" s="25"/>
      <c r="F79" s="23"/>
      <c r="G79" t="str">
        <f t="shared" si="1"/>
        <v/>
      </c>
    </row>
    <row r="80" spans="2:7">
      <c r="B80" s="23"/>
      <c r="C80" s="23"/>
      <c r="D80" s="22"/>
      <c r="E80" s="25"/>
      <c r="F80" s="23"/>
      <c r="G80" t="str">
        <f t="shared" si="1"/>
        <v/>
      </c>
    </row>
    <row r="81" spans="2:7">
      <c r="B81" s="23"/>
      <c r="C81" s="23"/>
      <c r="D81" s="22"/>
      <c r="E81" s="25"/>
      <c r="F81" s="23"/>
      <c r="G81" t="str">
        <f t="shared" si="1"/>
        <v/>
      </c>
    </row>
    <row r="82" spans="2:7">
      <c r="B82" s="23"/>
      <c r="C82" s="23"/>
      <c r="D82" s="22"/>
      <c r="E82" s="25"/>
      <c r="F82" s="23"/>
      <c r="G82" t="str">
        <f t="shared" si="1"/>
        <v/>
      </c>
    </row>
    <row r="83" spans="2:7">
      <c r="B83" s="23"/>
      <c r="C83" s="23"/>
      <c r="D83" s="22"/>
      <c r="E83" s="25"/>
      <c r="F83" s="23"/>
      <c r="G83" t="str">
        <f t="shared" si="1"/>
        <v/>
      </c>
    </row>
    <row r="84" spans="2:7">
      <c r="B84" s="23"/>
      <c r="C84" s="23"/>
      <c r="D84" s="22"/>
      <c r="E84" s="25"/>
      <c r="F84" s="23"/>
      <c r="G84" t="str">
        <f t="shared" si="1"/>
        <v/>
      </c>
    </row>
    <row r="85" spans="2:7">
      <c r="B85" s="23"/>
      <c r="C85" s="23"/>
      <c r="D85" s="22"/>
      <c r="E85" s="25"/>
      <c r="F85" s="23"/>
      <c r="G85" t="str">
        <f t="shared" si="1"/>
        <v/>
      </c>
    </row>
    <row r="86" spans="2:7">
      <c r="B86" s="23"/>
      <c r="C86" s="23"/>
      <c r="D86" s="22"/>
      <c r="E86" s="25"/>
      <c r="F86" s="23"/>
      <c r="G86" t="str">
        <f t="shared" si="1"/>
        <v/>
      </c>
    </row>
    <row r="87" spans="2:7">
      <c r="B87" s="23"/>
      <c r="C87" s="23"/>
      <c r="D87" s="22"/>
      <c r="E87" s="25"/>
      <c r="F87" s="23"/>
      <c r="G87" t="str">
        <f t="shared" si="1"/>
        <v/>
      </c>
    </row>
    <row r="88" spans="2:7">
      <c r="B88" s="23"/>
      <c r="C88" s="23"/>
      <c r="D88" s="22"/>
      <c r="E88" s="25"/>
      <c r="F88" s="23"/>
      <c r="G88" t="str">
        <f t="shared" si="1"/>
        <v/>
      </c>
    </row>
    <row r="89" spans="2:7">
      <c r="B89" s="23"/>
      <c r="C89" s="23"/>
      <c r="D89" s="22"/>
      <c r="E89" s="25"/>
      <c r="F89" s="23"/>
      <c r="G89" t="str">
        <f t="shared" si="1"/>
        <v/>
      </c>
    </row>
    <row r="90" spans="2:7">
      <c r="B90" s="23"/>
      <c r="C90" s="23"/>
      <c r="D90" s="22"/>
      <c r="E90" s="25"/>
      <c r="F90" s="23"/>
      <c r="G90" t="str">
        <f t="shared" si="1"/>
        <v/>
      </c>
    </row>
    <row r="91" spans="2:7">
      <c r="B91" s="23"/>
      <c r="C91" s="23"/>
      <c r="D91" s="22"/>
      <c r="E91" s="25"/>
      <c r="F91" s="23"/>
      <c r="G91" t="str">
        <f t="shared" si="1"/>
        <v/>
      </c>
    </row>
    <row r="92" spans="2:7">
      <c r="B92" s="23"/>
      <c r="C92" s="23"/>
      <c r="D92" s="22"/>
      <c r="E92" s="25"/>
      <c r="F92" s="23"/>
      <c r="G92" t="str">
        <f t="shared" si="1"/>
        <v/>
      </c>
    </row>
    <row r="93" spans="2:7">
      <c r="B93" s="23"/>
      <c r="C93" s="23"/>
      <c r="D93" s="22"/>
      <c r="E93" s="25"/>
      <c r="F93" s="23"/>
      <c r="G93" t="str">
        <f t="shared" si="1"/>
        <v/>
      </c>
    </row>
    <row r="94" spans="2:7">
      <c r="B94" s="23"/>
      <c r="C94" s="23"/>
      <c r="D94" s="22"/>
      <c r="E94" s="25"/>
      <c r="F94" s="23"/>
      <c r="G94" t="str">
        <f t="shared" si="1"/>
        <v/>
      </c>
    </row>
    <row r="95" spans="2:7">
      <c r="B95" s="23"/>
      <c r="C95" s="23"/>
      <c r="D95" s="22"/>
      <c r="E95" s="25"/>
      <c r="F95" s="23"/>
      <c r="G95" t="str">
        <f t="shared" si="1"/>
        <v/>
      </c>
    </row>
    <row r="96" spans="2:7">
      <c r="B96" s="23"/>
      <c r="C96" s="23"/>
      <c r="D96" s="22"/>
      <c r="E96" s="25"/>
      <c r="F96" s="23"/>
      <c r="G96" t="str">
        <f t="shared" si="1"/>
        <v/>
      </c>
    </row>
    <row r="97" spans="2:7">
      <c r="B97" s="23"/>
      <c r="C97" s="23"/>
      <c r="D97" s="22"/>
      <c r="E97" s="25"/>
      <c r="F97" s="23"/>
      <c r="G97" t="str">
        <f t="shared" si="1"/>
        <v/>
      </c>
    </row>
    <row r="98" spans="2:7">
      <c r="B98" s="23"/>
      <c r="C98" s="23"/>
      <c r="D98" s="22"/>
      <c r="E98" s="25"/>
      <c r="F98" s="23"/>
      <c r="G98" t="str">
        <f t="shared" si="1"/>
        <v/>
      </c>
    </row>
    <row r="99" spans="2:7">
      <c r="B99" s="23"/>
      <c r="C99" s="23"/>
      <c r="D99" s="22"/>
      <c r="E99" s="25"/>
      <c r="F99" s="23"/>
      <c r="G99" t="str">
        <f t="shared" si="1"/>
        <v/>
      </c>
    </row>
    <row r="100" spans="2:7">
      <c r="B100" s="23"/>
      <c r="C100" s="23"/>
      <c r="D100" s="22"/>
      <c r="E100" s="25"/>
      <c r="F100" s="23"/>
      <c r="G100" t="str">
        <f t="shared" si="1"/>
        <v/>
      </c>
    </row>
    <row r="101" spans="2:7">
      <c r="B101" s="23"/>
      <c r="C101" s="23"/>
      <c r="D101" s="22"/>
      <c r="E101" s="25"/>
      <c r="F101" s="23"/>
      <c r="G101" t="str">
        <f t="shared" si="1"/>
        <v/>
      </c>
    </row>
    <row r="102" spans="2:7">
      <c r="B102" s="23"/>
      <c r="C102" s="23"/>
      <c r="D102" s="22"/>
      <c r="E102" s="25"/>
      <c r="F102" s="23"/>
      <c r="G102" t="str">
        <f t="shared" si="1"/>
        <v/>
      </c>
    </row>
    <row r="103" spans="2:7">
      <c r="B103" s="23"/>
      <c r="C103" s="23"/>
      <c r="D103" s="22"/>
      <c r="E103" s="25"/>
      <c r="F103" s="23"/>
      <c r="G103" t="str">
        <f t="shared" si="1"/>
        <v/>
      </c>
    </row>
    <row r="104" spans="2:7">
      <c r="B104" s="23"/>
      <c r="C104" s="23"/>
      <c r="D104" s="22"/>
      <c r="E104" s="25"/>
      <c r="F104" s="23"/>
      <c r="G104" t="str">
        <f t="shared" si="1"/>
        <v/>
      </c>
    </row>
    <row r="105" spans="2:7">
      <c r="B105" s="23"/>
      <c r="C105" s="23"/>
      <c r="D105" s="22"/>
      <c r="E105" s="25"/>
      <c r="F105" s="23"/>
      <c r="G105" t="str">
        <f t="shared" si="1"/>
        <v/>
      </c>
    </row>
    <row r="106" spans="2:7">
      <c r="B106" s="23"/>
      <c r="C106" s="23"/>
      <c r="D106" s="22"/>
      <c r="E106" s="25"/>
      <c r="F106" s="23"/>
      <c r="G106" t="str">
        <f t="shared" si="1"/>
        <v/>
      </c>
    </row>
    <row r="107" spans="2:7">
      <c r="B107" s="23"/>
      <c r="C107" s="23"/>
      <c r="D107" s="22"/>
      <c r="E107" s="25"/>
      <c r="F107" s="23"/>
      <c r="G107" t="str">
        <f t="shared" si="1"/>
        <v/>
      </c>
    </row>
    <row r="108" spans="2:7">
      <c r="B108" s="23"/>
      <c r="C108" s="23"/>
      <c r="D108" s="22"/>
      <c r="E108" s="25"/>
      <c r="F108" s="23"/>
      <c r="G108" t="str">
        <f t="shared" si="1"/>
        <v/>
      </c>
    </row>
    <row r="109" spans="2:7">
      <c r="B109" s="23"/>
      <c r="C109" s="23"/>
      <c r="D109" s="22"/>
      <c r="E109" s="25"/>
      <c r="F109" s="23"/>
      <c r="G109" t="str">
        <f t="shared" si="1"/>
        <v/>
      </c>
    </row>
    <row r="110" spans="2:7">
      <c r="B110" s="23"/>
      <c r="C110" s="23"/>
      <c r="D110" s="22"/>
      <c r="E110" s="25"/>
      <c r="F110" s="23"/>
      <c r="G110" t="str">
        <f t="shared" si="1"/>
        <v/>
      </c>
    </row>
    <row r="111" spans="2:7">
      <c r="B111" s="23"/>
      <c r="C111" s="23"/>
      <c r="D111" s="22"/>
      <c r="E111" s="25"/>
      <c r="F111" s="23"/>
      <c r="G111" t="str">
        <f t="shared" si="1"/>
        <v/>
      </c>
    </row>
    <row r="112" spans="2:7">
      <c r="B112" s="23"/>
      <c r="C112" s="23"/>
      <c r="D112" s="22"/>
      <c r="E112" s="25"/>
      <c r="F112" s="23"/>
      <c r="G112" t="str">
        <f t="shared" si="1"/>
        <v/>
      </c>
    </row>
    <row r="113" spans="2:7">
      <c r="B113" s="23"/>
      <c r="C113" s="23"/>
      <c r="D113" s="22"/>
      <c r="E113" s="25"/>
      <c r="F113" s="23"/>
      <c r="G113" t="str">
        <f t="shared" si="1"/>
        <v/>
      </c>
    </row>
    <row r="114" spans="2:7">
      <c r="B114" s="23"/>
      <c r="C114" s="23"/>
      <c r="D114" s="22"/>
      <c r="E114" s="25"/>
      <c r="F114" s="23"/>
      <c r="G114" t="str">
        <f t="shared" si="1"/>
        <v/>
      </c>
    </row>
    <row r="115" spans="2:7">
      <c r="B115" s="23"/>
      <c r="C115" s="23"/>
      <c r="D115" s="22"/>
      <c r="E115" s="25"/>
      <c r="F115" s="23"/>
      <c r="G115" t="str">
        <f t="shared" si="1"/>
        <v/>
      </c>
    </row>
    <row r="116" spans="2:7">
      <c r="B116" s="23"/>
      <c r="C116" s="23"/>
      <c r="D116" s="22"/>
      <c r="E116" s="25"/>
      <c r="F116" s="23"/>
      <c r="G116" t="str">
        <f t="shared" si="1"/>
        <v/>
      </c>
    </row>
    <row r="117" spans="2:7">
      <c r="B117" s="23"/>
      <c r="C117" s="23"/>
      <c r="D117" s="22"/>
      <c r="E117" s="25"/>
      <c r="F117" s="23"/>
      <c r="G117" t="str">
        <f t="shared" si="1"/>
        <v/>
      </c>
    </row>
    <row r="118" spans="2:7">
      <c r="B118" s="23"/>
      <c r="C118" s="23"/>
      <c r="D118" s="22"/>
      <c r="E118" s="25"/>
      <c r="F118" s="23"/>
      <c r="G118" t="str">
        <f t="shared" si="1"/>
        <v/>
      </c>
    </row>
    <row r="119" spans="2:7">
      <c r="B119" s="23"/>
      <c r="C119" s="23"/>
      <c r="D119" s="22"/>
      <c r="E119" s="25"/>
      <c r="F119" s="23"/>
      <c r="G119" t="str">
        <f t="shared" si="1"/>
        <v/>
      </c>
    </row>
    <row r="120" spans="2:7">
      <c r="B120" s="23"/>
      <c r="C120" s="23"/>
      <c r="D120" s="22"/>
      <c r="E120" s="25"/>
      <c r="F120" s="23"/>
      <c r="G120" t="str">
        <f t="shared" si="1"/>
        <v/>
      </c>
    </row>
    <row r="121" spans="2:7">
      <c r="B121" s="23"/>
      <c r="C121" s="23"/>
      <c r="D121" s="22"/>
      <c r="E121" s="25"/>
      <c r="F121" s="23"/>
      <c r="G121" t="str">
        <f t="shared" si="1"/>
        <v/>
      </c>
    </row>
    <row r="122" spans="2:7">
      <c r="B122" s="23"/>
      <c r="C122" s="23"/>
      <c r="D122" s="22"/>
      <c r="E122" s="25"/>
      <c r="F122" s="23"/>
      <c r="G122" t="str">
        <f t="shared" si="1"/>
        <v/>
      </c>
    </row>
    <row r="123" spans="2:7">
      <c r="B123" s="23"/>
      <c r="C123" s="23"/>
      <c r="D123" s="22"/>
      <c r="E123" s="25"/>
      <c r="F123" s="23"/>
      <c r="G123" t="str">
        <f t="shared" si="1"/>
        <v/>
      </c>
    </row>
    <row r="124" spans="2:7">
      <c r="B124" s="23"/>
      <c r="C124" s="23"/>
      <c r="D124" s="22"/>
      <c r="E124" s="25"/>
      <c r="F124" s="23"/>
      <c r="G124" t="str">
        <f t="shared" si="1"/>
        <v/>
      </c>
    </row>
    <row r="125" spans="2:7">
      <c r="B125" s="23"/>
      <c r="C125" s="23"/>
      <c r="D125" s="22"/>
      <c r="E125" s="25"/>
      <c r="F125" s="23"/>
      <c r="G125" t="str">
        <f t="shared" si="1"/>
        <v/>
      </c>
    </row>
    <row r="126" spans="2:7">
      <c r="B126" s="23"/>
      <c r="C126" s="23"/>
      <c r="D126" s="22"/>
      <c r="E126" s="25"/>
      <c r="F126" s="23"/>
      <c r="G126" t="str">
        <f t="shared" si="1"/>
        <v/>
      </c>
    </row>
    <row r="127" spans="2:7">
      <c r="B127" s="23"/>
      <c r="C127" s="23"/>
      <c r="D127" s="22"/>
      <c r="E127" s="25"/>
      <c r="F127" s="23"/>
      <c r="G127" t="str">
        <f t="shared" si="1"/>
        <v/>
      </c>
    </row>
    <row r="128" spans="2:7">
      <c r="B128" s="23"/>
      <c r="C128" s="23"/>
      <c r="D128" s="22"/>
      <c r="E128" s="25"/>
      <c r="F128" s="23"/>
      <c r="G128" t="str">
        <f t="shared" si="1"/>
        <v/>
      </c>
    </row>
    <row r="129" spans="2:7">
      <c r="B129" s="23"/>
      <c r="C129" s="23"/>
      <c r="D129" s="22"/>
      <c r="E129" s="25"/>
      <c r="F129" s="23"/>
      <c r="G129" t="str">
        <f t="shared" si="1"/>
        <v/>
      </c>
    </row>
    <row r="130" spans="2:7">
      <c r="B130" s="23"/>
      <c r="C130" s="23"/>
      <c r="D130" s="22"/>
      <c r="E130" s="25"/>
      <c r="F130" s="23"/>
      <c r="G130" t="str">
        <f t="shared" si="1"/>
        <v/>
      </c>
    </row>
    <row r="131" spans="2:7">
      <c r="B131" s="23"/>
      <c r="C131" s="23"/>
      <c r="D131" s="22"/>
      <c r="E131" s="25"/>
      <c r="F131" s="23"/>
      <c r="G131" t="str">
        <f t="shared" si="1"/>
        <v/>
      </c>
    </row>
    <row r="132" spans="2:7">
      <c r="B132" s="23"/>
      <c r="C132" s="23"/>
      <c r="D132" s="22"/>
      <c r="E132" s="25"/>
      <c r="F132" s="23"/>
      <c r="G132" t="str">
        <f t="shared" si="1"/>
        <v/>
      </c>
    </row>
    <row r="133" spans="2:7">
      <c r="B133" s="23"/>
      <c r="C133" s="23"/>
      <c r="D133" s="22"/>
      <c r="E133" s="25"/>
      <c r="F133" s="23"/>
      <c r="G133" t="str">
        <f t="shared" si="1"/>
        <v/>
      </c>
    </row>
    <row r="134" spans="2:7">
      <c r="B134" s="23"/>
      <c r="C134" s="23"/>
      <c r="D134" s="22"/>
      <c r="E134" s="25"/>
      <c r="F134" s="23"/>
      <c r="G134" t="str">
        <f t="shared" si="1"/>
        <v/>
      </c>
    </row>
    <row r="135" spans="2:7">
      <c r="B135" s="23"/>
      <c r="C135" s="23"/>
      <c r="D135" s="22"/>
      <c r="E135" s="25"/>
      <c r="F135" s="23"/>
      <c r="G135" t="str">
        <f t="shared" ref="G135:G198" si="2">IF(B135="","",MONTH(B135))</f>
        <v/>
      </c>
    </row>
    <row r="136" spans="2:7">
      <c r="B136" s="23"/>
      <c r="C136" s="23"/>
      <c r="D136" s="22"/>
      <c r="E136" s="25"/>
      <c r="F136" s="23"/>
      <c r="G136" t="str">
        <f t="shared" si="2"/>
        <v/>
      </c>
    </row>
    <row r="137" spans="2:7">
      <c r="B137" s="23"/>
      <c r="C137" s="23"/>
      <c r="D137" s="22"/>
      <c r="E137" s="25"/>
      <c r="F137" s="23"/>
      <c r="G137" t="str">
        <f t="shared" si="2"/>
        <v/>
      </c>
    </row>
    <row r="138" spans="2:7">
      <c r="B138" s="23"/>
      <c r="C138" s="23"/>
      <c r="D138" s="22"/>
      <c r="E138" s="25"/>
      <c r="F138" s="23"/>
      <c r="G138" t="str">
        <f t="shared" si="2"/>
        <v/>
      </c>
    </row>
    <row r="139" spans="2:7">
      <c r="B139" s="23"/>
      <c r="C139" s="23"/>
      <c r="D139" s="22"/>
      <c r="E139" s="25"/>
      <c r="F139" s="23"/>
      <c r="G139" t="str">
        <f t="shared" si="2"/>
        <v/>
      </c>
    </row>
    <row r="140" spans="2:7">
      <c r="B140" s="23"/>
      <c r="C140" s="23"/>
      <c r="D140" s="22"/>
      <c r="E140" s="25"/>
      <c r="F140" s="23"/>
      <c r="G140" t="str">
        <f t="shared" si="2"/>
        <v/>
      </c>
    </row>
    <row r="141" spans="2:7">
      <c r="B141" s="23"/>
      <c r="C141" s="23"/>
      <c r="D141" s="22"/>
      <c r="E141" s="25"/>
      <c r="F141" s="23"/>
      <c r="G141" t="str">
        <f t="shared" si="2"/>
        <v/>
      </c>
    </row>
    <row r="142" spans="2:7">
      <c r="B142" s="23"/>
      <c r="C142" s="23"/>
      <c r="D142" s="22"/>
      <c r="E142" s="25"/>
      <c r="F142" s="23"/>
      <c r="G142" t="str">
        <f t="shared" si="2"/>
        <v/>
      </c>
    </row>
    <row r="143" spans="2:7">
      <c r="B143" s="23"/>
      <c r="C143" s="23"/>
      <c r="D143" s="22"/>
      <c r="E143" s="25"/>
      <c r="F143" s="23"/>
      <c r="G143" t="str">
        <f t="shared" si="2"/>
        <v/>
      </c>
    </row>
    <row r="144" spans="2:7">
      <c r="B144" s="23"/>
      <c r="C144" s="23"/>
      <c r="D144" s="22"/>
      <c r="E144" s="25"/>
      <c r="F144" s="23"/>
      <c r="G144" t="str">
        <f t="shared" si="2"/>
        <v/>
      </c>
    </row>
    <row r="145" spans="2:7">
      <c r="B145" s="23"/>
      <c r="C145" s="23"/>
      <c r="D145" s="22"/>
      <c r="E145" s="25"/>
      <c r="F145" s="23"/>
      <c r="G145" t="str">
        <f t="shared" si="2"/>
        <v/>
      </c>
    </row>
    <row r="146" spans="2:7">
      <c r="B146" s="23"/>
      <c r="C146" s="23"/>
      <c r="D146" s="22"/>
      <c r="E146" s="25"/>
      <c r="F146" s="23"/>
      <c r="G146" t="str">
        <f t="shared" si="2"/>
        <v/>
      </c>
    </row>
    <row r="147" spans="2:7">
      <c r="B147" s="23"/>
      <c r="C147" s="23"/>
      <c r="D147" s="22"/>
      <c r="E147" s="25"/>
      <c r="F147" s="23"/>
      <c r="G147" t="str">
        <f t="shared" si="2"/>
        <v/>
      </c>
    </row>
    <row r="148" spans="2:7">
      <c r="B148" s="23"/>
      <c r="C148" s="23"/>
      <c r="D148" s="22"/>
      <c r="E148" s="25"/>
      <c r="F148" s="23"/>
      <c r="G148" t="str">
        <f t="shared" si="2"/>
        <v/>
      </c>
    </row>
    <row r="149" spans="2:7">
      <c r="B149" s="23"/>
      <c r="C149" s="23"/>
      <c r="D149" s="22"/>
      <c r="E149" s="25"/>
      <c r="F149" s="23"/>
      <c r="G149" t="str">
        <f t="shared" si="2"/>
        <v/>
      </c>
    </row>
    <row r="150" spans="2:7">
      <c r="B150" s="23"/>
      <c r="C150" s="23"/>
      <c r="D150" s="22"/>
      <c r="E150" s="25"/>
      <c r="F150" s="23"/>
      <c r="G150" t="str">
        <f t="shared" si="2"/>
        <v/>
      </c>
    </row>
    <row r="151" spans="2:7">
      <c r="B151" s="23"/>
      <c r="C151" s="23"/>
      <c r="D151" s="22"/>
      <c r="E151" s="25"/>
      <c r="F151" s="23"/>
      <c r="G151" t="str">
        <f t="shared" si="2"/>
        <v/>
      </c>
    </row>
    <row r="152" spans="2:7">
      <c r="B152" s="23"/>
      <c r="C152" s="23"/>
      <c r="D152" s="22"/>
      <c r="E152" s="25"/>
      <c r="F152" s="23"/>
      <c r="G152" t="str">
        <f t="shared" si="2"/>
        <v/>
      </c>
    </row>
    <row r="153" spans="2:7">
      <c r="B153" s="23"/>
      <c r="C153" s="23"/>
      <c r="D153" s="22"/>
      <c r="E153" s="25"/>
      <c r="F153" s="23"/>
      <c r="G153" t="str">
        <f t="shared" si="2"/>
        <v/>
      </c>
    </row>
    <row r="154" spans="2:7">
      <c r="B154" s="23"/>
      <c r="C154" s="23"/>
      <c r="D154" s="22"/>
      <c r="E154" s="25"/>
      <c r="F154" s="23"/>
      <c r="G154" t="str">
        <f t="shared" si="2"/>
        <v/>
      </c>
    </row>
    <row r="155" spans="2:7">
      <c r="B155" s="23"/>
      <c r="C155" s="23"/>
      <c r="D155" s="22"/>
      <c r="E155" s="25"/>
      <c r="F155" s="23"/>
      <c r="G155" t="str">
        <f t="shared" si="2"/>
        <v/>
      </c>
    </row>
    <row r="156" spans="2:7">
      <c r="B156" s="23"/>
      <c r="C156" s="23"/>
      <c r="D156" s="22"/>
      <c r="E156" s="25"/>
      <c r="F156" s="23"/>
      <c r="G156" t="str">
        <f t="shared" si="2"/>
        <v/>
      </c>
    </row>
    <row r="157" spans="2:7">
      <c r="B157" s="23"/>
      <c r="C157" s="23"/>
      <c r="D157" s="22"/>
      <c r="E157" s="25"/>
      <c r="F157" s="23"/>
      <c r="G157" t="str">
        <f t="shared" si="2"/>
        <v/>
      </c>
    </row>
    <row r="158" spans="2:7">
      <c r="B158" s="23"/>
      <c r="C158" s="23"/>
      <c r="D158" s="22"/>
      <c r="E158" s="25"/>
      <c r="F158" s="23"/>
      <c r="G158" t="str">
        <f t="shared" si="2"/>
        <v/>
      </c>
    </row>
    <row r="159" spans="2:7">
      <c r="B159" s="23"/>
      <c r="C159" s="23"/>
      <c r="D159" s="22"/>
      <c r="E159" s="25"/>
      <c r="F159" s="23"/>
      <c r="G159" t="str">
        <f t="shared" si="2"/>
        <v/>
      </c>
    </row>
    <row r="160" spans="2:7">
      <c r="B160" s="23"/>
      <c r="C160" s="23"/>
      <c r="D160" s="22"/>
      <c r="E160" s="25"/>
      <c r="F160" s="23"/>
      <c r="G160" t="str">
        <f t="shared" si="2"/>
        <v/>
      </c>
    </row>
    <row r="161" spans="2:7">
      <c r="B161" s="23"/>
      <c r="C161" s="23"/>
      <c r="D161" s="22"/>
      <c r="E161" s="25"/>
      <c r="F161" s="23"/>
      <c r="G161" t="str">
        <f t="shared" si="2"/>
        <v/>
      </c>
    </row>
    <row r="162" spans="2:7">
      <c r="B162" s="23"/>
      <c r="C162" s="23"/>
      <c r="D162" s="22"/>
      <c r="E162" s="25"/>
      <c r="F162" s="23"/>
      <c r="G162" t="str">
        <f t="shared" si="2"/>
        <v/>
      </c>
    </row>
    <row r="163" spans="2:7">
      <c r="B163" s="23"/>
      <c r="C163" s="23"/>
      <c r="D163" s="22"/>
      <c r="E163" s="25"/>
      <c r="F163" s="23"/>
      <c r="G163" t="str">
        <f t="shared" si="2"/>
        <v/>
      </c>
    </row>
    <row r="164" spans="2:7">
      <c r="B164" s="23"/>
      <c r="C164" s="23"/>
      <c r="D164" s="22"/>
      <c r="E164" s="25"/>
      <c r="F164" s="23"/>
      <c r="G164" t="str">
        <f t="shared" si="2"/>
        <v/>
      </c>
    </row>
    <row r="165" spans="2:7">
      <c r="B165" s="23"/>
      <c r="C165" s="23"/>
      <c r="D165" s="22"/>
      <c r="E165" s="25"/>
      <c r="F165" s="23"/>
      <c r="G165" t="str">
        <f t="shared" si="2"/>
        <v/>
      </c>
    </row>
    <row r="166" spans="2:7">
      <c r="B166" s="23"/>
      <c r="C166" s="23"/>
      <c r="D166" s="22"/>
      <c r="E166" s="25"/>
      <c r="F166" s="23"/>
      <c r="G166" t="str">
        <f t="shared" si="2"/>
        <v/>
      </c>
    </row>
    <row r="167" spans="2:7">
      <c r="B167" s="23"/>
      <c r="C167" s="23"/>
      <c r="D167" s="22"/>
      <c r="E167" s="25"/>
      <c r="F167" s="23"/>
      <c r="G167" t="str">
        <f t="shared" si="2"/>
        <v/>
      </c>
    </row>
    <row r="168" spans="2:7">
      <c r="B168" s="23"/>
      <c r="C168" s="23"/>
      <c r="D168" s="22"/>
      <c r="E168" s="25"/>
      <c r="F168" s="23"/>
      <c r="G168" t="str">
        <f t="shared" si="2"/>
        <v/>
      </c>
    </row>
    <row r="169" spans="2:7">
      <c r="B169" s="23"/>
      <c r="C169" s="23"/>
      <c r="D169" s="22"/>
      <c r="E169" s="25"/>
      <c r="F169" s="23"/>
      <c r="G169" t="str">
        <f t="shared" si="2"/>
        <v/>
      </c>
    </row>
    <row r="170" spans="2:7">
      <c r="B170" s="23"/>
      <c r="C170" s="23"/>
      <c r="D170" s="22"/>
      <c r="E170" s="25"/>
      <c r="F170" s="23"/>
      <c r="G170" t="str">
        <f t="shared" si="2"/>
        <v/>
      </c>
    </row>
    <row r="171" spans="2:7">
      <c r="B171" s="23"/>
      <c r="C171" s="23"/>
      <c r="D171" s="22"/>
      <c r="E171" s="25"/>
      <c r="F171" s="23"/>
      <c r="G171" t="str">
        <f t="shared" si="2"/>
        <v/>
      </c>
    </row>
    <row r="172" spans="2:7">
      <c r="B172" s="23"/>
      <c r="C172" s="23"/>
      <c r="D172" s="22"/>
      <c r="E172" s="25"/>
      <c r="F172" s="23"/>
      <c r="G172" t="str">
        <f t="shared" si="2"/>
        <v/>
      </c>
    </row>
    <row r="173" spans="2:7">
      <c r="B173" s="23"/>
      <c r="C173" s="23"/>
      <c r="D173" s="22"/>
      <c r="E173" s="25"/>
      <c r="F173" s="23"/>
      <c r="G173" t="str">
        <f t="shared" si="2"/>
        <v/>
      </c>
    </row>
    <row r="174" spans="2:7">
      <c r="B174" s="23"/>
      <c r="C174" s="23"/>
      <c r="D174" s="22"/>
      <c r="E174" s="25"/>
      <c r="F174" s="23"/>
      <c r="G174" t="str">
        <f t="shared" si="2"/>
        <v/>
      </c>
    </row>
    <row r="175" spans="2:7">
      <c r="B175" s="23"/>
      <c r="C175" s="23"/>
      <c r="D175" s="22"/>
      <c r="E175" s="25"/>
      <c r="F175" s="23"/>
      <c r="G175" t="str">
        <f t="shared" si="2"/>
        <v/>
      </c>
    </row>
    <row r="176" spans="2:7">
      <c r="B176" s="23"/>
      <c r="C176" s="23"/>
      <c r="D176" s="22"/>
      <c r="E176" s="25"/>
      <c r="F176" s="23"/>
      <c r="G176" t="str">
        <f t="shared" si="2"/>
        <v/>
      </c>
    </row>
    <row r="177" spans="2:7">
      <c r="B177" s="23"/>
      <c r="C177" s="23"/>
      <c r="D177" s="22"/>
      <c r="E177" s="25"/>
      <c r="F177" s="23"/>
      <c r="G177" t="str">
        <f t="shared" si="2"/>
        <v/>
      </c>
    </row>
    <row r="178" spans="2:7">
      <c r="B178" s="23"/>
      <c r="C178" s="23"/>
      <c r="D178" s="22"/>
      <c r="E178" s="25"/>
      <c r="F178" s="23"/>
      <c r="G178" t="str">
        <f t="shared" si="2"/>
        <v/>
      </c>
    </row>
    <row r="179" spans="2:7">
      <c r="B179" s="23"/>
      <c r="C179" s="23"/>
      <c r="D179" s="22"/>
      <c r="E179" s="25"/>
      <c r="F179" s="23"/>
      <c r="G179" t="str">
        <f t="shared" si="2"/>
        <v/>
      </c>
    </row>
    <row r="180" spans="2:7">
      <c r="B180" s="23"/>
      <c r="C180" s="23"/>
      <c r="D180" s="22"/>
      <c r="E180" s="25"/>
      <c r="F180" s="23"/>
      <c r="G180" t="str">
        <f t="shared" si="2"/>
        <v/>
      </c>
    </row>
    <row r="181" spans="2:7">
      <c r="B181" s="23"/>
      <c r="C181" s="23"/>
      <c r="D181" s="22"/>
      <c r="E181" s="25"/>
      <c r="F181" s="23"/>
      <c r="G181" t="str">
        <f t="shared" si="2"/>
        <v/>
      </c>
    </row>
    <row r="182" spans="2:7">
      <c r="B182" s="23"/>
      <c r="C182" s="23"/>
      <c r="D182" s="22"/>
      <c r="E182" s="25"/>
      <c r="F182" s="23"/>
      <c r="G182" t="str">
        <f t="shared" si="2"/>
        <v/>
      </c>
    </row>
    <row r="183" spans="2:7">
      <c r="B183" s="23"/>
      <c r="C183" s="23"/>
      <c r="D183" s="22"/>
      <c r="E183" s="25"/>
      <c r="F183" s="23"/>
      <c r="G183" t="str">
        <f t="shared" si="2"/>
        <v/>
      </c>
    </row>
    <row r="184" spans="2:7">
      <c r="B184" s="23"/>
      <c r="C184" s="23"/>
      <c r="D184" s="22"/>
      <c r="E184" s="25"/>
      <c r="F184" s="23"/>
      <c r="G184" t="str">
        <f t="shared" si="2"/>
        <v/>
      </c>
    </row>
    <row r="185" spans="2:7">
      <c r="B185" s="23"/>
      <c r="C185" s="23"/>
      <c r="D185" s="22"/>
      <c r="E185" s="25"/>
      <c r="F185" s="23"/>
      <c r="G185" t="str">
        <f t="shared" si="2"/>
        <v/>
      </c>
    </row>
    <row r="186" spans="2:7">
      <c r="B186" s="23"/>
      <c r="C186" s="23"/>
      <c r="D186" s="22"/>
      <c r="E186" s="25"/>
      <c r="F186" s="23"/>
      <c r="G186" t="str">
        <f t="shared" si="2"/>
        <v/>
      </c>
    </row>
    <row r="187" spans="2:7">
      <c r="B187" s="23"/>
      <c r="C187" s="23"/>
      <c r="D187" s="22"/>
      <c r="E187" s="25"/>
      <c r="F187" s="23"/>
      <c r="G187" t="str">
        <f t="shared" si="2"/>
        <v/>
      </c>
    </row>
    <row r="188" spans="2:7">
      <c r="B188" s="23"/>
      <c r="C188" s="23"/>
      <c r="D188" s="22"/>
      <c r="E188" s="25"/>
      <c r="F188" s="23"/>
      <c r="G188" t="str">
        <f t="shared" si="2"/>
        <v/>
      </c>
    </row>
    <row r="189" spans="2:7">
      <c r="B189" s="23"/>
      <c r="C189" s="23"/>
      <c r="D189" s="22"/>
      <c r="E189" s="25"/>
      <c r="F189" s="23"/>
      <c r="G189" t="str">
        <f t="shared" si="2"/>
        <v/>
      </c>
    </row>
    <row r="190" spans="2:7">
      <c r="B190" s="23"/>
      <c r="C190" s="23"/>
      <c r="D190" s="22"/>
      <c r="E190" s="25"/>
      <c r="F190" s="23"/>
      <c r="G190" t="str">
        <f t="shared" si="2"/>
        <v/>
      </c>
    </row>
    <row r="191" spans="2:7">
      <c r="B191" s="23"/>
      <c r="C191" s="23"/>
      <c r="D191" s="22"/>
      <c r="E191" s="25"/>
      <c r="F191" s="23"/>
      <c r="G191" t="str">
        <f t="shared" si="2"/>
        <v/>
      </c>
    </row>
    <row r="192" spans="2:7">
      <c r="B192" s="23"/>
      <c r="C192" s="23"/>
      <c r="D192" s="22"/>
      <c r="E192" s="25"/>
      <c r="F192" s="23"/>
      <c r="G192" t="str">
        <f t="shared" si="2"/>
        <v/>
      </c>
    </row>
    <row r="193" spans="2:7">
      <c r="B193" s="23"/>
      <c r="C193" s="23"/>
      <c r="D193" s="22"/>
      <c r="E193" s="25"/>
      <c r="F193" s="23"/>
      <c r="G193" t="str">
        <f t="shared" si="2"/>
        <v/>
      </c>
    </row>
    <row r="194" spans="2:7">
      <c r="B194" s="23"/>
      <c r="C194" s="23"/>
      <c r="D194" s="22"/>
      <c r="E194" s="25"/>
      <c r="F194" s="23"/>
      <c r="G194" t="str">
        <f t="shared" si="2"/>
        <v/>
      </c>
    </row>
    <row r="195" spans="2:7">
      <c r="B195" s="23"/>
      <c r="C195" s="23"/>
      <c r="D195" s="22"/>
      <c r="E195" s="25"/>
      <c r="F195" s="23"/>
      <c r="G195" t="str">
        <f t="shared" si="2"/>
        <v/>
      </c>
    </row>
    <row r="196" spans="2:7">
      <c r="B196" s="23"/>
      <c r="C196" s="23"/>
      <c r="D196" s="22"/>
      <c r="E196" s="25"/>
      <c r="F196" s="23"/>
      <c r="G196" t="str">
        <f t="shared" si="2"/>
        <v/>
      </c>
    </row>
    <row r="197" spans="2:7">
      <c r="B197" s="23"/>
      <c r="C197" s="23"/>
      <c r="D197" s="22"/>
      <c r="E197" s="25"/>
      <c r="F197" s="23"/>
      <c r="G197" t="str">
        <f t="shared" si="2"/>
        <v/>
      </c>
    </row>
    <row r="198" spans="2:7">
      <c r="B198" s="23"/>
      <c r="C198" s="23"/>
      <c r="D198" s="22"/>
      <c r="E198" s="25"/>
      <c r="F198" s="23"/>
      <c r="G198" t="str">
        <f t="shared" si="2"/>
        <v/>
      </c>
    </row>
    <row r="199" spans="2:7">
      <c r="B199" s="23"/>
      <c r="C199" s="23"/>
      <c r="D199" s="22"/>
      <c r="E199" s="25"/>
      <c r="F199" s="23"/>
      <c r="G199" t="str">
        <f t="shared" ref="G199:G262" si="3">IF(B199="","",MONTH(B199))</f>
        <v/>
      </c>
    </row>
    <row r="200" spans="2:7">
      <c r="B200" s="23"/>
      <c r="C200" s="23"/>
      <c r="D200" s="22"/>
      <c r="E200" s="25"/>
      <c r="F200" s="23"/>
      <c r="G200" t="str">
        <f t="shared" si="3"/>
        <v/>
      </c>
    </row>
    <row r="201" spans="2:7">
      <c r="B201" s="23"/>
      <c r="C201" s="23"/>
      <c r="D201" s="22"/>
      <c r="E201" s="25"/>
      <c r="F201" s="23"/>
      <c r="G201" t="str">
        <f t="shared" si="3"/>
        <v/>
      </c>
    </row>
    <row r="202" spans="2:7">
      <c r="B202" s="23"/>
      <c r="C202" s="23"/>
      <c r="D202" s="22"/>
      <c r="E202" s="25"/>
      <c r="F202" s="23"/>
      <c r="G202" t="str">
        <f t="shared" si="3"/>
        <v/>
      </c>
    </row>
    <row r="203" spans="2:7">
      <c r="B203" s="23"/>
      <c r="C203" s="23"/>
      <c r="D203" s="22"/>
      <c r="E203" s="25"/>
      <c r="F203" s="23"/>
      <c r="G203" t="str">
        <f t="shared" si="3"/>
        <v/>
      </c>
    </row>
    <row r="204" spans="2:7">
      <c r="B204" s="23"/>
      <c r="C204" s="23"/>
      <c r="D204" s="22"/>
      <c r="E204" s="25"/>
      <c r="F204" s="23"/>
      <c r="G204" t="str">
        <f t="shared" si="3"/>
        <v/>
      </c>
    </row>
    <row r="205" spans="2:7">
      <c r="B205" s="23"/>
      <c r="C205" s="23"/>
      <c r="D205" s="22"/>
      <c r="E205" s="25"/>
      <c r="F205" s="23"/>
      <c r="G205" t="str">
        <f t="shared" si="3"/>
        <v/>
      </c>
    </row>
    <row r="206" spans="2:7">
      <c r="B206" s="23"/>
      <c r="C206" s="23"/>
      <c r="D206" s="22"/>
      <c r="E206" s="25"/>
      <c r="F206" s="23"/>
      <c r="G206" t="str">
        <f t="shared" si="3"/>
        <v/>
      </c>
    </row>
    <row r="207" spans="2:7">
      <c r="B207" s="23"/>
      <c r="C207" s="23"/>
      <c r="D207" s="22"/>
      <c r="E207" s="25"/>
      <c r="F207" s="23"/>
      <c r="G207" t="str">
        <f t="shared" si="3"/>
        <v/>
      </c>
    </row>
    <row r="208" spans="2:7">
      <c r="B208" s="23"/>
      <c r="C208" s="23"/>
      <c r="D208" s="22"/>
      <c r="E208" s="25"/>
      <c r="F208" s="23"/>
      <c r="G208" t="str">
        <f t="shared" si="3"/>
        <v/>
      </c>
    </row>
    <row r="209" spans="2:7">
      <c r="B209" s="23"/>
      <c r="C209" s="23"/>
      <c r="D209" s="22"/>
      <c r="E209" s="25"/>
      <c r="F209" s="23"/>
      <c r="G209" t="str">
        <f t="shared" si="3"/>
        <v/>
      </c>
    </row>
    <row r="210" spans="2:7">
      <c r="B210" s="23"/>
      <c r="C210" s="23"/>
      <c r="D210" s="22"/>
      <c r="E210" s="25"/>
      <c r="F210" s="23"/>
      <c r="G210" t="str">
        <f t="shared" si="3"/>
        <v/>
      </c>
    </row>
    <row r="211" spans="2:7">
      <c r="B211" s="23"/>
      <c r="C211" s="23"/>
      <c r="D211" s="22"/>
      <c r="E211" s="25"/>
      <c r="F211" s="23"/>
      <c r="G211" t="str">
        <f t="shared" si="3"/>
        <v/>
      </c>
    </row>
    <row r="212" spans="2:7">
      <c r="B212" s="23"/>
      <c r="C212" s="23"/>
      <c r="D212" s="22"/>
      <c r="E212" s="25"/>
      <c r="F212" s="23"/>
      <c r="G212" t="str">
        <f t="shared" si="3"/>
        <v/>
      </c>
    </row>
    <row r="213" spans="2:7">
      <c r="B213" s="23"/>
      <c r="C213" s="23"/>
      <c r="D213" s="22"/>
      <c r="E213" s="25"/>
      <c r="F213" s="23"/>
      <c r="G213" t="str">
        <f t="shared" si="3"/>
        <v/>
      </c>
    </row>
    <row r="214" spans="2:7">
      <c r="B214" s="23"/>
      <c r="C214" s="23"/>
      <c r="D214" s="22"/>
      <c r="E214" s="25"/>
      <c r="F214" s="23"/>
      <c r="G214" t="str">
        <f t="shared" si="3"/>
        <v/>
      </c>
    </row>
    <row r="215" spans="2:7">
      <c r="B215" s="23"/>
      <c r="C215" s="23"/>
      <c r="D215" s="22"/>
      <c r="E215" s="25"/>
      <c r="F215" s="23"/>
      <c r="G215" t="str">
        <f t="shared" si="3"/>
        <v/>
      </c>
    </row>
    <row r="216" spans="2:7">
      <c r="B216" s="23"/>
      <c r="C216" s="23"/>
      <c r="D216" s="22"/>
      <c r="E216" s="25"/>
      <c r="F216" s="23"/>
      <c r="G216" t="str">
        <f t="shared" si="3"/>
        <v/>
      </c>
    </row>
    <row r="217" spans="2:7">
      <c r="B217" s="23"/>
      <c r="C217" s="23"/>
      <c r="D217" s="22"/>
      <c r="E217" s="25"/>
      <c r="F217" s="23"/>
      <c r="G217" t="str">
        <f t="shared" si="3"/>
        <v/>
      </c>
    </row>
    <row r="218" spans="2:7">
      <c r="B218" s="23"/>
      <c r="C218" s="23"/>
      <c r="D218" s="22"/>
      <c r="E218" s="25"/>
      <c r="F218" s="23"/>
      <c r="G218" t="str">
        <f t="shared" si="3"/>
        <v/>
      </c>
    </row>
    <row r="219" spans="2:7">
      <c r="B219" s="23"/>
      <c r="C219" s="23"/>
      <c r="D219" s="22"/>
      <c r="E219" s="25"/>
      <c r="F219" s="23"/>
      <c r="G219" t="str">
        <f t="shared" si="3"/>
        <v/>
      </c>
    </row>
    <row r="220" spans="2:7">
      <c r="B220" s="23"/>
      <c r="C220" s="23"/>
      <c r="D220" s="22"/>
      <c r="E220" s="25"/>
      <c r="F220" s="23"/>
      <c r="G220" t="str">
        <f t="shared" si="3"/>
        <v/>
      </c>
    </row>
    <row r="221" spans="2:7">
      <c r="B221" s="23"/>
      <c r="C221" s="23"/>
      <c r="D221" s="22"/>
      <c r="E221" s="25"/>
      <c r="F221" s="23"/>
      <c r="G221" t="str">
        <f t="shared" si="3"/>
        <v/>
      </c>
    </row>
    <row r="222" spans="2:7">
      <c r="B222" s="23"/>
      <c r="C222" s="23"/>
      <c r="D222" s="22"/>
      <c r="E222" s="25"/>
      <c r="F222" s="23"/>
      <c r="G222" t="str">
        <f t="shared" si="3"/>
        <v/>
      </c>
    </row>
    <row r="223" spans="2:7">
      <c r="B223" s="23"/>
      <c r="C223" s="23"/>
      <c r="D223" s="22"/>
      <c r="E223" s="25"/>
      <c r="F223" s="23"/>
      <c r="G223" t="str">
        <f t="shared" si="3"/>
        <v/>
      </c>
    </row>
    <row r="224" spans="2:7">
      <c r="B224" s="23"/>
      <c r="C224" s="23"/>
      <c r="D224" s="22"/>
      <c r="E224" s="25"/>
      <c r="F224" s="23"/>
      <c r="G224" t="str">
        <f t="shared" si="3"/>
        <v/>
      </c>
    </row>
    <row r="225" spans="2:7">
      <c r="B225" s="23"/>
      <c r="C225" s="23"/>
      <c r="D225" s="22"/>
      <c r="E225" s="25"/>
      <c r="F225" s="23"/>
      <c r="G225" t="str">
        <f t="shared" si="3"/>
        <v/>
      </c>
    </row>
    <row r="226" spans="2:7">
      <c r="B226" s="23"/>
      <c r="C226" s="23"/>
      <c r="D226" s="22"/>
      <c r="E226" s="25"/>
      <c r="F226" s="23"/>
      <c r="G226" t="str">
        <f t="shared" si="3"/>
        <v/>
      </c>
    </row>
    <row r="227" spans="2:7">
      <c r="B227" s="23"/>
      <c r="C227" s="23"/>
      <c r="D227" s="22"/>
      <c r="E227" s="25"/>
      <c r="F227" s="23"/>
      <c r="G227" t="str">
        <f t="shared" si="3"/>
        <v/>
      </c>
    </row>
    <row r="228" spans="2:7">
      <c r="B228" s="23"/>
      <c r="C228" s="23"/>
      <c r="D228" s="22"/>
      <c r="E228" s="25"/>
      <c r="F228" s="23"/>
      <c r="G228" t="str">
        <f t="shared" si="3"/>
        <v/>
      </c>
    </row>
    <row r="229" spans="2:7">
      <c r="B229" s="23"/>
      <c r="C229" s="23"/>
      <c r="D229" s="22"/>
      <c r="E229" s="25"/>
      <c r="F229" s="23"/>
      <c r="G229" t="str">
        <f t="shared" si="3"/>
        <v/>
      </c>
    </row>
    <row r="230" spans="2:7">
      <c r="B230" s="23"/>
      <c r="C230" s="23"/>
      <c r="D230" s="22"/>
      <c r="E230" s="25"/>
      <c r="F230" s="23"/>
      <c r="G230" t="str">
        <f t="shared" si="3"/>
        <v/>
      </c>
    </row>
    <row r="231" spans="2:7">
      <c r="B231" s="23"/>
      <c r="C231" s="23"/>
      <c r="D231" s="22"/>
      <c r="E231" s="25"/>
      <c r="F231" s="23"/>
      <c r="G231" t="str">
        <f t="shared" si="3"/>
        <v/>
      </c>
    </row>
    <row r="232" spans="2:7">
      <c r="B232" s="23"/>
      <c r="C232" s="23"/>
      <c r="D232" s="22"/>
      <c r="E232" s="25"/>
      <c r="F232" s="23"/>
      <c r="G232" t="str">
        <f t="shared" si="3"/>
        <v/>
      </c>
    </row>
    <row r="233" spans="2:7">
      <c r="B233" s="23"/>
      <c r="C233" s="23"/>
      <c r="D233" s="22"/>
      <c r="E233" s="25"/>
      <c r="F233" s="23"/>
      <c r="G233" t="str">
        <f t="shared" si="3"/>
        <v/>
      </c>
    </row>
    <row r="234" spans="2:7">
      <c r="B234" s="23"/>
      <c r="C234" s="23"/>
      <c r="D234" s="22"/>
      <c r="E234" s="25"/>
      <c r="F234" s="23"/>
      <c r="G234" t="str">
        <f t="shared" si="3"/>
        <v/>
      </c>
    </row>
    <row r="235" spans="2:7">
      <c r="B235" s="23"/>
      <c r="C235" s="23"/>
      <c r="D235" s="22"/>
      <c r="E235" s="25"/>
      <c r="F235" s="23"/>
      <c r="G235" t="str">
        <f t="shared" si="3"/>
        <v/>
      </c>
    </row>
    <row r="236" spans="2:7">
      <c r="B236" s="23"/>
      <c r="C236" s="23"/>
      <c r="D236" s="22"/>
      <c r="E236" s="25"/>
      <c r="F236" s="23"/>
      <c r="G236" t="str">
        <f t="shared" si="3"/>
        <v/>
      </c>
    </row>
    <row r="237" spans="2:7">
      <c r="B237" s="23"/>
      <c r="C237" s="23"/>
      <c r="D237" s="22"/>
      <c r="E237" s="25"/>
      <c r="F237" s="23"/>
      <c r="G237" t="str">
        <f t="shared" si="3"/>
        <v/>
      </c>
    </row>
    <row r="238" spans="2:7">
      <c r="B238" s="23"/>
      <c r="C238" s="23"/>
      <c r="D238" s="22"/>
      <c r="E238" s="25"/>
      <c r="F238" s="23"/>
      <c r="G238" t="str">
        <f t="shared" si="3"/>
        <v/>
      </c>
    </row>
    <row r="239" spans="2:7">
      <c r="B239" s="23"/>
      <c r="C239" s="23"/>
      <c r="D239" s="22"/>
      <c r="E239" s="25"/>
      <c r="F239" s="23"/>
      <c r="G239" t="str">
        <f t="shared" si="3"/>
        <v/>
      </c>
    </row>
    <row r="240" spans="2:7">
      <c r="B240" s="23"/>
      <c r="C240" s="23"/>
      <c r="D240" s="22"/>
      <c r="E240" s="25"/>
      <c r="F240" s="23"/>
      <c r="G240" t="str">
        <f t="shared" si="3"/>
        <v/>
      </c>
    </row>
    <row r="241" spans="2:7">
      <c r="B241" s="23"/>
      <c r="C241" s="23"/>
      <c r="D241" s="22"/>
      <c r="E241" s="25"/>
      <c r="F241" s="23"/>
      <c r="G241" t="str">
        <f t="shared" si="3"/>
        <v/>
      </c>
    </row>
    <row r="242" spans="2:7">
      <c r="B242" s="23"/>
      <c r="C242" s="23"/>
      <c r="D242" s="22"/>
      <c r="E242" s="25"/>
      <c r="F242" s="23"/>
      <c r="G242" t="str">
        <f t="shared" si="3"/>
        <v/>
      </c>
    </row>
    <row r="243" spans="2:7">
      <c r="B243" s="23"/>
      <c r="C243" s="23"/>
      <c r="D243" s="22"/>
      <c r="E243" s="25"/>
      <c r="F243" s="23"/>
      <c r="G243" t="str">
        <f t="shared" si="3"/>
        <v/>
      </c>
    </row>
    <row r="244" spans="2:7">
      <c r="B244" s="23"/>
      <c r="C244" s="23"/>
      <c r="D244" s="22"/>
      <c r="E244" s="25"/>
      <c r="F244" s="23"/>
      <c r="G244" t="str">
        <f t="shared" si="3"/>
        <v/>
      </c>
    </row>
    <row r="245" spans="2:7">
      <c r="B245" s="23"/>
      <c r="C245" s="23"/>
      <c r="D245" s="22"/>
      <c r="E245" s="25"/>
      <c r="F245" s="23"/>
      <c r="G245" t="str">
        <f t="shared" si="3"/>
        <v/>
      </c>
    </row>
    <row r="246" spans="2:7">
      <c r="B246" s="23"/>
      <c r="C246" s="23"/>
      <c r="D246" s="22"/>
      <c r="E246" s="25"/>
      <c r="F246" s="23"/>
      <c r="G246" t="str">
        <f t="shared" si="3"/>
        <v/>
      </c>
    </row>
    <row r="247" spans="2:7">
      <c r="B247" s="23"/>
      <c r="C247" s="23"/>
      <c r="D247" s="22"/>
      <c r="E247" s="25"/>
      <c r="F247" s="23"/>
      <c r="G247" t="str">
        <f t="shared" si="3"/>
        <v/>
      </c>
    </row>
    <row r="248" spans="2:7">
      <c r="B248" s="23"/>
      <c r="C248" s="23"/>
      <c r="D248" s="22"/>
      <c r="E248" s="25"/>
      <c r="F248" s="23"/>
      <c r="G248" t="str">
        <f t="shared" si="3"/>
        <v/>
      </c>
    </row>
    <row r="249" spans="2:7">
      <c r="B249" s="23"/>
      <c r="C249" s="23"/>
      <c r="D249" s="22"/>
      <c r="E249" s="25"/>
      <c r="F249" s="23"/>
      <c r="G249" t="str">
        <f t="shared" si="3"/>
        <v/>
      </c>
    </row>
    <row r="250" spans="2:7">
      <c r="B250" s="23"/>
      <c r="C250" s="23"/>
      <c r="D250" s="22"/>
      <c r="E250" s="25"/>
      <c r="F250" s="23"/>
      <c r="G250" t="str">
        <f t="shared" si="3"/>
        <v/>
      </c>
    </row>
    <row r="251" spans="2:7">
      <c r="B251" s="23"/>
      <c r="C251" s="23"/>
      <c r="D251" s="22"/>
      <c r="E251" s="25"/>
      <c r="F251" s="23"/>
      <c r="G251" t="str">
        <f t="shared" si="3"/>
        <v/>
      </c>
    </row>
    <row r="252" spans="2:7">
      <c r="B252" s="23"/>
      <c r="C252" s="23"/>
      <c r="D252" s="22"/>
      <c r="E252" s="25"/>
      <c r="F252" s="23"/>
      <c r="G252" t="str">
        <f t="shared" si="3"/>
        <v/>
      </c>
    </row>
    <row r="253" spans="2:7">
      <c r="B253" s="23"/>
      <c r="C253" s="23"/>
      <c r="D253" s="22"/>
      <c r="E253" s="25"/>
      <c r="F253" s="23"/>
      <c r="G253" t="str">
        <f t="shared" si="3"/>
        <v/>
      </c>
    </row>
    <row r="254" spans="2:7">
      <c r="B254" s="23"/>
      <c r="C254" s="23"/>
      <c r="D254" s="22"/>
      <c r="E254" s="25"/>
      <c r="F254" s="23"/>
      <c r="G254" t="str">
        <f t="shared" si="3"/>
        <v/>
      </c>
    </row>
    <row r="255" spans="2:7">
      <c r="B255" s="23"/>
      <c r="C255" s="23"/>
      <c r="D255" s="22"/>
      <c r="E255" s="25"/>
      <c r="F255" s="23"/>
      <c r="G255" t="str">
        <f t="shared" si="3"/>
        <v/>
      </c>
    </row>
    <row r="256" spans="2:7">
      <c r="B256" s="23"/>
      <c r="C256" s="23"/>
      <c r="D256" s="22"/>
      <c r="E256" s="25"/>
      <c r="F256" s="23"/>
      <c r="G256" t="str">
        <f t="shared" si="3"/>
        <v/>
      </c>
    </row>
    <row r="257" spans="2:7">
      <c r="B257" s="23"/>
      <c r="C257" s="23"/>
      <c r="D257" s="22"/>
      <c r="E257" s="25"/>
      <c r="F257" s="23"/>
      <c r="G257" t="str">
        <f t="shared" si="3"/>
        <v/>
      </c>
    </row>
    <row r="258" spans="2:7">
      <c r="B258" s="23"/>
      <c r="C258" s="23"/>
      <c r="D258" s="22"/>
      <c r="E258" s="25"/>
      <c r="F258" s="23"/>
      <c r="G258" t="str">
        <f t="shared" si="3"/>
        <v/>
      </c>
    </row>
    <row r="259" spans="2:7">
      <c r="B259" s="23"/>
      <c r="C259" s="23"/>
      <c r="D259" s="22"/>
      <c r="E259" s="25"/>
      <c r="F259" s="23"/>
      <c r="G259" t="str">
        <f t="shared" si="3"/>
        <v/>
      </c>
    </row>
    <row r="260" spans="2:7">
      <c r="B260" s="23"/>
      <c r="C260" s="23"/>
      <c r="D260" s="22"/>
      <c r="E260" s="25"/>
      <c r="F260" s="23"/>
      <c r="G260" t="str">
        <f t="shared" si="3"/>
        <v/>
      </c>
    </row>
    <row r="261" spans="2:7">
      <c r="B261" s="23"/>
      <c r="C261" s="23"/>
      <c r="D261" s="22"/>
      <c r="E261" s="25"/>
      <c r="F261" s="23"/>
      <c r="G261" t="str">
        <f t="shared" si="3"/>
        <v/>
      </c>
    </row>
    <row r="262" spans="2:7">
      <c r="B262" s="23"/>
      <c r="C262" s="23"/>
      <c r="D262" s="22"/>
      <c r="E262" s="25"/>
      <c r="F262" s="23"/>
      <c r="G262" t="str">
        <f t="shared" si="3"/>
        <v/>
      </c>
    </row>
    <row r="263" spans="2:7">
      <c r="B263" s="23"/>
      <c r="C263" s="23"/>
      <c r="D263" s="22"/>
      <c r="E263" s="25"/>
      <c r="F263" s="23"/>
      <c r="G263" t="str">
        <f t="shared" ref="G263:G326" si="4">IF(B263="","",MONTH(B263))</f>
        <v/>
      </c>
    </row>
    <row r="264" spans="2:7">
      <c r="B264" s="23"/>
      <c r="C264" s="23"/>
      <c r="D264" s="22"/>
      <c r="E264" s="25"/>
      <c r="F264" s="23"/>
      <c r="G264" t="str">
        <f t="shared" si="4"/>
        <v/>
      </c>
    </row>
    <row r="265" spans="2:7">
      <c r="B265" s="23"/>
      <c r="C265" s="23"/>
      <c r="D265" s="22"/>
      <c r="E265" s="25"/>
      <c r="F265" s="23"/>
      <c r="G265" t="str">
        <f t="shared" si="4"/>
        <v/>
      </c>
    </row>
    <row r="266" spans="2:7">
      <c r="B266" s="23"/>
      <c r="C266" s="23"/>
      <c r="D266" s="22"/>
      <c r="E266" s="25"/>
      <c r="F266" s="23"/>
      <c r="G266" t="str">
        <f t="shared" si="4"/>
        <v/>
      </c>
    </row>
    <row r="267" spans="2:7">
      <c r="B267" s="23"/>
      <c r="C267" s="23"/>
      <c r="D267" s="22"/>
      <c r="E267" s="25"/>
      <c r="F267" s="23"/>
      <c r="G267" t="str">
        <f t="shared" si="4"/>
        <v/>
      </c>
    </row>
    <row r="268" spans="2:7">
      <c r="B268" s="23"/>
      <c r="C268" s="23"/>
      <c r="D268" s="22"/>
      <c r="E268" s="25"/>
      <c r="F268" s="23"/>
      <c r="G268" t="str">
        <f t="shared" si="4"/>
        <v/>
      </c>
    </row>
    <row r="269" spans="2:7">
      <c r="B269" s="23"/>
      <c r="C269" s="23"/>
      <c r="D269" s="22"/>
      <c r="E269" s="25"/>
      <c r="F269" s="23"/>
      <c r="G269" t="str">
        <f t="shared" si="4"/>
        <v/>
      </c>
    </row>
    <row r="270" spans="2:7">
      <c r="B270" s="23"/>
      <c r="C270" s="23"/>
      <c r="D270" s="22"/>
      <c r="E270" s="25"/>
      <c r="F270" s="23"/>
      <c r="G270" t="str">
        <f t="shared" si="4"/>
        <v/>
      </c>
    </row>
    <row r="271" spans="2:7">
      <c r="B271" s="23"/>
      <c r="C271" s="23"/>
      <c r="D271" s="22"/>
      <c r="E271" s="25"/>
      <c r="F271" s="23"/>
      <c r="G271" t="str">
        <f t="shared" si="4"/>
        <v/>
      </c>
    </row>
    <row r="272" spans="2:7">
      <c r="B272" s="23"/>
      <c r="C272" s="23"/>
      <c r="D272" s="22"/>
      <c r="E272" s="25"/>
      <c r="F272" s="23"/>
      <c r="G272" t="str">
        <f t="shared" si="4"/>
        <v/>
      </c>
    </row>
    <row r="273" spans="2:7">
      <c r="B273" s="23"/>
      <c r="C273" s="23"/>
      <c r="D273" s="22"/>
      <c r="E273" s="25"/>
      <c r="F273" s="23"/>
      <c r="G273" t="str">
        <f t="shared" si="4"/>
        <v/>
      </c>
    </row>
    <row r="274" spans="2:7">
      <c r="B274" s="23"/>
      <c r="C274" s="23"/>
      <c r="D274" s="22"/>
      <c r="E274" s="25"/>
      <c r="F274" s="23"/>
      <c r="G274" t="str">
        <f t="shared" si="4"/>
        <v/>
      </c>
    </row>
    <row r="275" spans="2:7">
      <c r="B275" s="23"/>
      <c r="C275" s="23"/>
      <c r="D275" s="22"/>
      <c r="E275" s="25"/>
      <c r="F275" s="23"/>
      <c r="G275" t="str">
        <f t="shared" si="4"/>
        <v/>
      </c>
    </row>
    <row r="276" spans="2:7">
      <c r="B276" s="23"/>
      <c r="C276" s="23"/>
      <c r="D276" s="22"/>
      <c r="E276" s="25"/>
      <c r="F276" s="23"/>
      <c r="G276" t="str">
        <f t="shared" si="4"/>
        <v/>
      </c>
    </row>
    <row r="277" spans="2:7">
      <c r="B277" s="23"/>
      <c r="C277" s="23"/>
      <c r="D277" s="22"/>
      <c r="E277" s="25"/>
      <c r="F277" s="23"/>
      <c r="G277" t="str">
        <f t="shared" si="4"/>
        <v/>
      </c>
    </row>
    <row r="278" spans="2:7">
      <c r="B278" s="23"/>
      <c r="C278" s="23"/>
      <c r="D278" s="22"/>
      <c r="E278" s="25"/>
      <c r="F278" s="23"/>
      <c r="G278" t="str">
        <f t="shared" si="4"/>
        <v/>
      </c>
    </row>
    <row r="279" spans="2:7">
      <c r="B279" s="23"/>
      <c r="C279" s="23"/>
      <c r="D279" s="22"/>
      <c r="E279" s="25"/>
      <c r="F279" s="23"/>
      <c r="G279" t="str">
        <f t="shared" si="4"/>
        <v/>
      </c>
    </row>
    <row r="280" spans="2:7">
      <c r="B280" s="23"/>
      <c r="C280" s="23"/>
      <c r="D280" s="22"/>
      <c r="E280" s="25"/>
      <c r="F280" s="23"/>
      <c r="G280" t="str">
        <f t="shared" si="4"/>
        <v/>
      </c>
    </row>
    <row r="281" spans="2:7">
      <c r="B281" s="23"/>
      <c r="C281" s="23"/>
      <c r="D281" s="22"/>
      <c r="E281" s="25"/>
      <c r="F281" s="23"/>
      <c r="G281" t="str">
        <f t="shared" si="4"/>
        <v/>
      </c>
    </row>
    <row r="282" spans="2:7">
      <c r="B282" s="23"/>
      <c r="C282" s="23"/>
      <c r="D282" s="22"/>
      <c r="E282" s="25"/>
      <c r="F282" s="23"/>
      <c r="G282" t="str">
        <f t="shared" si="4"/>
        <v/>
      </c>
    </row>
    <row r="283" spans="2:7">
      <c r="B283" s="23"/>
      <c r="C283" s="23"/>
      <c r="D283" s="22"/>
      <c r="E283" s="25"/>
      <c r="F283" s="23"/>
      <c r="G283" t="str">
        <f t="shared" si="4"/>
        <v/>
      </c>
    </row>
    <row r="284" spans="2:7">
      <c r="B284" s="23"/>
      <c r="C284" s="23"/>
      <c r="D284" s="22"/>
      <c r="E284" s="25"/>
      <c r="F284" s="23"/>
      <c r="G284" t="str">
        <f t="shared" si="4"/>
        <v/>
      </c>
    </row>
    <row r="285" spans="2:7">
      <c r="B285" s="23"/>
      <c r="C285" s="23"/>
      <c r="D285" s="22"/>
      <c r="E285" s="25"/>
      <c r="F285" s="23"/>
      <c r="G285" t="str">
        <f t="shared" si="4"/>
        <v/>
      </c>
    </row>
    <row r="286" spans="2:7">
      <c r="B286" s="23"/>
      <c r="C286" s="23"/>
      <c r="D286" s="22"/>
      <c r="E286" s="25"/>
      <c r="F286" s="23"/>
      <c r="G286" t="str">
        <f t="shared" si="4"/>
        <v/>
      </c>
    </row>
    <row r="287" spans="2:7">
      <c r="B287" s="23"/>
      <c r="C287" s="23"/>
      <c r="D287" s="22"/>
      <c r="E287" s="25"/>
      <c r="F287" s="23"/>
      <c r="G287" t="str">
        <f t="shared" si="4"/>
        <v/>
      </c>
    </row>
    <row r="288" spans="2:7">
      <c r="B288" s="23"/>
      <c r="C288" s="23"/>
      <c r="D288" s="22"/>
      <c r="E288" s="25"/>
      <c r="F288" s="23"/>
      <c r="G288" t="str">
        <f t="shared" si="4"/>
        <v/>
      </c>
    </row>
    <row r="289" spans="2:7">
      <c r="B289" s="23"/>
      <c r="C289" s="23"/>
      <c r="D289" s="22"/>
      <c r="E289" s="25"/>
      <c r="F289" s="23"/>
      <c r="G289" t="str">
        <f t="shared" si="4"/>
        <v/>
      </c>
    </row>
    <row r="290" spans="2:7">
      <c r="B290" s="23"/>
      <c r="C290" s="23"/>
      <c r="D290" s="22"/>
      <c r="E290" s="25"/>
      <c r="F290" s="23"/>
      <c r="G290" t="str">
        <f t="shared" si="4"/>
        <v/>
      </c>
    </row>
    <row r="291" spans="2:7">
      <c r="B291" s="23"/>
      <c r="C291" s="23"/>
      <c r="D291" s="22"/>
      <c r="E291" s="25"/>
      <c r="F291" s="23"/>
      <c r="G291" t="str">
        <f t="shared" si="4"/>
        <v/>
      </c>
    </row>
    <row r="292" spans="2:7">
      <c r="B292" s="23"/>
      <c r="C292" s="23"/>
      <c r="D292" s="22"/>
      <c r="E292" s="25"/>
      <c r="F292" s="23"/>
      <c r="G292" t="str">
        <f t="shared" si="4"/>
        <v/>
      </c>
    </row>
    <row r="293" spans="2:7">
      <c r="B293" s="23"/>
      <c r="C293" s="23"/>
      <c r="D293" s="22"/>
      <c r="E293" s="25"/>
      <c r="F293" s="23"/>
      <c r="G293" t="str">
        <f t="shared" si="4"/>
        <v/>
      </c>
    </row>
    <row r="294" spans="2:7">
      <c r="B294" s="23"/>
      <c r="C294" s="23"/>
      <c r="D294" s="22"/>
      <c r="E294" s="25"/>
      <c r="F294" s="23"/>
      <c r="G294" t="str">
        <f t="shared" si="4"/>
        <v/>
      </c>
    </row>
    <row r="295" spans="2:7">
      <c r="B295" s="23"/>
      <c r="C295" s="23"/>
      <c r="D295" s="22"/>
      <c r="E295" s="25"/>
      <c r="F295" s="23"/>
      <c r="G295" t="str">
        <f t="shared" si="4"/>
        <v/>
      </c>
    </row>
    <row r="296" spans="2:7">
      <c r="B296" s="23"/>
      <c r="C296" s="23"/>
      <c r="D296" s="22"/>
      <c r="E296" s="25"/>
      <c r="F296" s="23"/>
      <c r="G296" t="str">
        <f t="shared" si="4"/>
        <v/>
      </c>
    </row>
    <row r="297" spans="2:7">
      <c r="B297" s="23"/>
      <c r="C297" s="23"/>
      <c r="D297" s="22"/>
      <c r="E297" s="25"/>
      <c r="F297" s="23"/>
      <c r="G297" t="str">
        <f t="shared" si="4"/>
        <v/>
      </c>
    </row>
    <row r="298" spans="2:7">
      <c r="B298" s="23"/>
      <c r="C298" s="23"/>
      <c r="D298" s="22"/>
      <c r="E298" s="25"/>
      <c r="F298" s="23"/>
      <c r="G298" t="str">
        <f t="shared" si="4"/>
        <v/>
      </c>
    </row>
    <row r="299" spans="2:7">
      <c r="B299" s="23"/>
      <c r="C299" s="23"/>
      <c r="D299" s="22"/>
      <c r="E299" s="25"/>
      <c r="F299" s="23"/>
      <c r="G299" t="str">
        <f t="shared" si="4"/>
        <v/>
      </c>
    </row>
    <row r="300" spans="2:7">
      <c r="B300" s="23"/>
      <c r="C300" s="23"/>
      <c r="D300" s="22"/>
      <c r="E300" s="25"/>
      <c r="F300" s="23"/>
      <c r="G300" t="str">
        <f t="shared" si="4"/>
        <v/>
      </c>
    </row>
    <row r="301" spans="2:7">
      <c r="B301" s="23"/>
      <c r="C301" s="23"/>
      <c r="D301" s="22"/>
      <c r="E301" s="25"/>
      <c r="F301" s="23"/>
      <c r="G301" t="str">
        <f t="shared" si="4"/>
        <v/>
      </c>
    </row>
    <row r="302" spans="2:7">
      <c r="B302" s="23"/>
      <c r="C302" s="23"/>
      <c r="D302" s="22"/>
      <c r="E302" s="25"/>
      <c r="F302" s="23"/>
      <c r="G302" t="str">
        <f t="shared" si="4"/>
        <v/>
      </c>
    </row>
    <row r="303" spans="2:7">
      <c r="B303" s="23"/>
      <c r="C303" s="23"/>
      <c r="D303" s="22"/>
      <c r="E303" s="25"/>
      <c r="F303" s="23"/>
      <c r="G303" t="str">
        <f t="shared" si="4"/>
        <v/>
      </c>
    </row>
    <row r="304" spans="2:7">
      <c r="B304" s="23"/>
      <c r="C304" s="23"/>
      <c r="D304" s="22"/>
      <c r="E304" s="25"/>
      <c r="F304" s="23"/>
      <c r="G304" t="str">
        <f t="shared" si="4"/>
        <v/>
      </c>
    </row>
    <row r="305" spans="2:7">
      <c r="B305" s="23"/>
      <c r="C305" s="23"/>
      <c r="D305" s="22"/>
      <c r="E305" s="25"/>
      <c r="F305" s="23"/>
      <c r="G305" t="str">
        <f t="shared" si="4"/>
        <v/>
      </c>
    </row>
    <row r="306" spans="2:7">
      <c r="B306" s="23"/>
      <c r="C306" s="23"/>
      <c r="D306" s="22"/>
      <c r="E306" s="25"/>
      <c r="F306" s="23"/>
      <c r="G306" t="str">
        <f t="shared" si="4"/>
        <v/>
      </c>
    </row>
    <row r="307" spans="2:7">
      <c r="B307" s="23"/>
      <c r="C307" s="23"/>
      <c r="D307" s="22"/>
      <c r="E307" s="25"/>
      <c r="F307" s="23"/>
      <c r="G307" t="str">
        <f t="shared" si="4"/>
        <v/>
      </c>
    </row>
    <row r="308" spans="2:7">
      <c r="B308" s="23"/>
      <c r="C308" s="23"/>
      <c r="D308" s="22"/>
      <c r="E308" s="25"/>
      <c r="F308" s="23"/>
      <c r="G308" t="str">
        <f t="shared" si="4"/>
        <v/>
      </c>
    </row>
    <row r="309" spans="2:7">
      <c r="B309" s="23"/>
      <c r="C309" s="23"/>
      <c r="D309" s="22"/>
      <c r="E309" s="25"/>
      <c r="F309" s="23"/>
      <c r="G309" t="str">
        <f t="shared" si="4"/>
        <v/>
      </c>
    </row>
    <row r="310" spans="2:7">
      <c r="B310" s="23"/>
      <c r="C310" s="23"/>
      <c r="D310" s="22"/>
      <c r="E310" s="25"/>
      <c r="F310" s="23"/>
      <c r="G310" t="str">
        <f t="shared" si="4"/>
        <v/>
      </c>
    </row>
    <row r="311" spans="2:7">
      <c r="B311" s="23"/>
      <c r="C311" s="23"/>
      <c r="D311" s="22"/>
      <c r="E311" s="25"/>
      <c r="F311" s="23"/>
      <c r="G311" t="str">
        <f t="shared" si="4"/>
        <v/>
      </c>
    </row>
    <row r="312" spans="2:7">
      <c r="B312" s="23"/>
      <c r="C312" s="23"/>
      <c r="D312" s="22"/>
      <c r="E312" s="25"/>
      <c r="F312" s="23"/>
      <c r="G312" t="str">
        <f t="shared" si="4"/>
        <v/>
      </c>
    </row>
    <row r="313" spans="2:7">
      <c r="B313" s="23"/>
      <c r="C313" s="23"/>
      <c r="D313" s="22"/>
      <c r="E313" s="25"/>
      <c r="F313" s="23"/>
      <c r="G313" t="str">
        <f t="shared" si="4"/>
        <v/>
      </c>
    </row>
    <row r="314" spans="2:7">
      <c r="B314" s="23"/>
      <c r="C314" s="23"/>
      <c r="D314" s="22"/>
      <c r="E314" s="25"/>
      <c r="F314" s="23"/>
      <c r="G314" t="str">
        <f t="shared" si="4"/>
        <v/>
      </c>
    </row>
    <row r="315" spans="2:7">
      <c r="B315" s="23"/>
      <c r="C315" s="23"/>
      <c r="D315" s="22"/>
      <c r="E315" s="25"/>
      <c r="F315" s="23"/>
      <c r="G315" t="str">
        <f t="shared" si="4"/>
        <v/>
      </c>
    </row>
    <row r="316" spans="2:7">
      <c r="B316" s="23"/>
      <c r="C316" s="23"/>
      <c r="D316" s="22"/>
      <c r="E316" s="25"/>
      <c r="F316" s="23"/>
      <c r="G316" t="str">
        <f t="shared" si="4"/>
        <v/>
      </c>
    </row>
    <row r="317" spans="2:7">
      <c r="B317" s="23"/>
      <c r="C317" s="23"/>
      <c r="D317" s="22"/>
      <c r="E317" s="25"/>
      <c r="F317" s="23"/>
      <c r="G317" t="str">
        <f t="shared" si="4"/>
        <v/>
      </c>
    </row>
    <row r="318" spans="2:7">
      <c r="B318" s="23"/>
      <c r="C318" s="23"/>
      <c r="D318" s="22"/>
      <c r="E318" s="25"/>
      <c r="F318" s="23"/>
      <c r="G318" t="str">
        <f t="shared" si="4"/>
        <v/>
      </c>
    </row>
    <row r="319" spans="2:7">
      <c r="B319" s="23"/>
      <c r="C319" s="23"/>
      <c r="D319" s="22"/>
      <c r="E319" s="25"/>
      <c r="F319" s="23"/>
      <c r="G319" t="str">
        <f t="shared" si="4"/>
        <v/>
      </c>
    </row>
    <row r="320" spans="2:7">
      <c r="B320" s="23"/>
      <c r="C320" s="23"/>
      <c r="D320" s="22"/>
      <c r="E320" s="25"/>
      <c r="F320" s="23"/>
      <c r="G320" t="str">
        <f t="shared" si="4"/>
        <v/>
      </c>
    </row>
    <row r="321" spans="2:7">
      <c r="B321" s="23"/>
      <c r="C321" s="23"/>
      <c r="D321" s="22"/>
      <c r="E321" s="25"/>
      <c r="F321" s="23"/>
      <c r="G321" t="str">
        <f t="shared" si="4"/>
        <v/>
      </c>
    </row>
    <row r="322" spans="2:7">
      <c r="B322" s="23"/>
      <c r="C322" s="23"/>
      <c r="D322" s="22"/>
      <c r="E322" s="25"/>
      <c r="F322" s="23"/>
      <c r="G322" t="str">
        <f t="shared" si="4"/>
        <v/>
      </c>
    </row>
    <row r="323" spans="2:7">
      <c r="B323" s="23"/>
      <c r="C323" s="23"/>
      <c r="D323" s="22"/>
      <c r="E323" s="25"/>
      <c r="F323" s="23"/>
      <c r="G323" t="str">
        <f t="shared" si="4"/>
        <v/>
      </c>
    </row>
    <row r="324" spans="2:7">
      <c r="B324" s="23"/>
      <c r="C324" s="23"/>
      <c r="D324" s="22"/>
      <c r="E324" s="25"/>
      <c r="F324" s="23"/>
      <c r="G324" t="str">
        <f t="shared" si="4"/>
        <v/>
      </c>
    </row>
    <row r="325" spans="2:7">
      <c r="B325" s="23"/>
      <c r="C325" s="23"/>
      <c r="D325" s="22"/>
      <c r="E325" s="25"/>
      <c r="F325" s="23"/>
      <c r="G325" t="str">
        <f t="shared" si="4"/>
        <v/>
      </c>
    </row>
    <row r="326" spans="2:7">
      <c r="B326" s="23"/>
      <c r="C326" s="23"/>
      <c r="D326" s="22"/>
      <c r="E326" s="25"/>
      <c r="F326" s="23"/>
      <c r="G326" t="str">
        <f t="shared" si="4"/>
        <v/>
      </c>
    </row>
    <row r="327" spans="2:7">
      <c r="B327" s="23"/>
      <c r="C327" s="23"/>
      <c r="D327" s="22"/>
      <c r="E327" s="25"/>
      <c r="F327" s="23"/>
      <c r="G327" t="str">
        <f t="shared" ref="G327:G390" si="5">IF(B327="","",MONTH(B327))</f>
        <v/>
      </c>
    </row>
    <row r="328" spans="2:7">
      <c r="B328" s="23"/>
      <c r="C328" s="23"/>
      <c r="D328" s="22"/>
      <c r="E328" s="25"/>
      <c r="F328" s="23"/>
      <c r="G328" t="str">
        <f t="shared" si="5"/>
        <v/>
      </c>
    </row>
    <row r="329" spans="2:7">
      <c r="B329" s="23"/>
      <c r="C329" s="23"/>
      <c r="D329" s="22"/>
      <c r="E329" s="25"/>
      <c r="F329" s="23"/>
      <c r="G329" t="str">
        <f t="shared" si="5"/>
        <v/>
      </c>
    </row>
    <row r="330" spans="2:7">
      <c r="B330" s="23"/>
      <c r="C330" s="23"/>
      <c r="D330" s="22"/>
      <c r="E330" s="25"/>
      <c r="F330" s="23"/>
      <c r="G330" t="str">
        <f t="shared" si="5"/>
        <v/>
      </c>
    </row>
    <row r="331" spans="2:7">
      <c r="B331" s="23"/>
      <c r="C331" s="23"/>
      <c r="D331" s="22"/>
      <c r="E331" s="25"/>
      <c r="F331" s="23"/>
      <c r="G331" t="str">
        <f t="shared" si="5"/>
        <v/>
      </c>
    </row>
    <row r="332" spans="2:7">
      <c r="B332" s="23"/>
      <c r="C332" s="23"/>
      <c r="D332" s="22"/>
      <c r="E332" s="25"/>
      <c r="F332" s="23"/>
      <c r="G332" t="str">
        <f t="shared" si="5"/>
        <v/>
      </c>
    </row>
    <row r="333" spans="2:7">
      <c r="B333" s="23"/>
      <c r="C333" s="23"/>
      <c r="D333" s="22"/>
      <c r="E333" s="25"/>
      <c r="F333" s="23"/>
      <c r="G333" t="str">
        <f t="shared" si="5"/>
        <v/>
      </c>
    </row>
    <row r="334" spans="2:7">
      <c r="B334" s="23"/>
      <c r="C334" s="23"/>
      <c r="D334" s="22"/>
      <c r="E334" s="25"/>
      <c r="F334" s="23"/>
      <c r="G334" t="str">
        <f t="shared" si="5"/>
        <v/>
      </c>
    </row>
    <row r="335" spans="2:7">
      <c r="B335" s="23"/>
      <c r="C335" s="23"/>
      <c r="D335" s="22"/>
      <c r="E335" s="25"/>
      <c r="F335" s="23"/>
      <c r="G335" t="str">
        <f t="shared" si="5"/>
        <v/>
      </c>
    </row>
    <row r="336" spans="2:7">
      <c r="B336" s="23"/>
      <c r="C336" s="23"/>
      <c r="D336" s="22"/>
      <c r="E336" s="25"/>
      <c r="F336" s="23"/>
      <c r="G336" t="str">
        <f t="shared" si="5"/>
        <v/>
      </c>
    </row>
    <row r="337" spans="2:7">
      <c r="B337" s="23"/>
      <c r="C337" s="23"/>
      <c r="D337" s="22"/>
      <c r="E337" s="25"/>
      <c r="F337" s="23"/>
      <c r="G337" t="str">
        <f t="shared" si="5"/>
        <v/>
      </c>
    </row>
    <row r="338" spans="2:7">
      <c r="B338" s="23"/>
      <c r="C338" s="23"/>
      <c r="D338" s="22"/>
      <c r="E338" s="25"/>
      <c r="F338" s="23"/>
      <c r="G338" t="str">
        <f t="shared" si="5"/>
        <v/>
      </c>
    </row>
    <row r="339" spans="2:7">
      <c r="B339" s="23"/>
      <c r="C339" s="23"/>
      <c r="D339" s="22"/>
      <c r="E339" s="25"/>
      <c r="F339" s="23"/>
      <c r="G339" t="str">
        <f t="shared" si="5"/>
        <v/>
      </c>
    </row>
    <row r="340" spans="2:7">
      <c r="B340" s="23"/>
      <c r="C340" s="23"/>
      <c r="D340" s="22"/>
      <c r="E340" s="25"/>
      <c r="F340" s="23"/>
      <c r="G340" t="str">
        <f t="shared" si="5"/>
        <v/>
      </c>
    </row>
    <row r="341" spans="2:7">
      <c r="B341" s="23"/>
      <c r="C341" s="23"/>
      <c r="D341" s="22"/>
      <c r="E341" s="25"/>
      <c r="F341" s="23"/>
      <c r="G341" t="str">
        <f t="shared" si="5"/>
        <v/>
      </c>
    </row>
    <row r="342" spans="2:7">
      <c r="B342" s="23"/>
      <c r="C342" s="23"/>
      <c r="D342" s="22"/>
      <c r="E342" s="25"/>
      <c r="F342" s="23"/>
      <c r="G342" t="str">
        <f t="shared" si="5"/>
        <v/>
      </c>
    </row>
    <row r="343" spans="2:7">
      <c r="B343" s="23"/>
      <c r="C343" s="23"/>
      <c r="D343" s="22"/>
      <c r="E343" s="25"/>
      <c r="F343" s="23"/>
      <c r="G343" t="str">
        <f t="shared" si="5"/>
        <v/>
      </c>
    </row>
    <row r="344" spans="2:7">
      <c r="B344" s="23"/>
      <c r="C344" s="23"/>
      <c r="D344" s="22"/>
      <c r="E344" s="25"/>
      <c r="F344" s="23"/>
      <c r="G344" t="str">
        <f t="shared" si="5"/>
        <v/>
      </c>
    </row>
    <row r="345" spans="2:7">
      <c r="B345" s="23"/>
      <c r="C345" s="23"/>
      <c r="D345" s="22"/>
      <c r="E345" s="25"/>
      <c r="F345" s="23"/>
      <c r="G345" t="str">
        <f t="shared" si="5"/>
        <v/>
      </c>
    </row>
    <row r="346" spans="2:7">
      <c r="B346" s="23"/>
      <c r="C346" s="23"/>
      <c r="D346" s="22"/>
      <c r="E346" s="25"/>
      <c r="F346" s="23"/>
      <c r="G346" t="str">
        <f t="shared" si="5"/>
        <v/>
      </c>
    </row>
    <row r="347" spans="2:7">
      <c r="B347" s="23"/>
      <c r="C347" s="23"/>
      <c r="D347" s="22"/>
      <c r="E347" s="25"/>
      <c r="F347" s="23"/>
      <c r="G347" t="str">
        <f t="shared" si="5"/>
        <v/>
      </c>
    </row>
    <row r="348" spans="2:7">
      <c r="B348" s="23"/>
      <c r="C348" s="23"/>
      <c r="D348" s="22"/>
      <c r="E348" s="25"/>
      <c r="F348" s="23"/>
      <c r="G348" t="str">
        <f t="shared" si="5"/>
        <v/>
      </c>
    </row>
    <row r="349" spans="2:7">
      <c r="B349" s="23"/>
      <c r="C349" s="23"/>
      <c r="D349" s="22"/>
      <c r="E349" s="25"/>
      <c r="F349" s="23"/>
      <c r="G349" t="str">
        <f t="shared" si="5"/>
        <v/>
      </c>
    </row>
    <row r="350" spans="2:7">
      <c r="B350" s="23"/>
      <c r="C350" s="23"/>
      <c r="D350" s="22"/>
      <c r="E350" s="25"/>
      <c r="F350" s="23"/>
      <c r="G350" t="str">
        <f t="shared" si="5"/>
        <v/>
      </c>
    </row>
    <row r="351" spans="2:7">
      <c r="B351" s="23"/>
      <c r="C351" s="23"/>
      <c r="D351" s="22"/>
      <c r="E351" s="25"/>
      <c r="F351" s="23"/>
      <c r="G351" t="str">
        <f t="shared" si="5"/>
        <v/>
      </c>
    </row>
    <row r="352" spans="2:7">
      <c r="B352" s="23"/>
      <c r="C352" s="23"/>
      <c r="D352" s="22"/>
      <c r="E352" s="25"/>
      <c r="F352" s="23"/>
      <c r="G352" t="str">
        <f t="shared" si="5"/>
        <v/>
      </c>
    </row>
    <row r="353" spans="2:7">
      <c r="B353" s="23"/>
      <c r="C353" s="23"/>
      <c r="D353" s="22"/>
      <c r="E353" s="25"/>
      <c r="F353" s="23"/>
      <c r="G353" t="str">
        <f t="shared" si="5"/>
        <v/>
      </c>
    </row>
    <row r="354" spans="2:7">
      <c r="B354" s="23"/>
      <c r="C354" s="23"/>
      <c r="D354" s="22"/>
      <c r="E354" s="25"/>
      <c r="F354" s="23"/>
      <c r="G354" t="str">
        <f t="shared" si="5"/>
        <v/>
      </c>
    </row>
    <row r="355" spans="2:7">
      <c r="B355" s="23"/>
      <c r="C355" s="23"/>
      <c r="D355" s="22"/>
      <c r="E355" s="25"/>
      <c r="F355" s="23"/>
      <c r="G355" t="str">
        <f t="shared" si="5"/>
        <v/>
      </c>
    </row>
    <row r="356" spans="2:7">
      <c r="B356" s="23"/>
      <c r="C356" s="23"/>
      <c r="D356" s="22"/>
      <c r="E356" s="25"/>
      <c r="F356" s="23"/>
      <c r="G356" t="str">
        <f t="shared" si="5"/>
        <v/>
      </c>
    </row>
    <row r="357" spans="2:7">
      <c r="B357" s="23"/>
      <c r="C357" s="23"/>
      <c r="D357" s="22"/>
      <c r="E357" s="25"/>
      <c r="F357" s="23"/>
      <c r="G357" t="str">
        <f t="shared" si="5"/>
        <v/>
      </c>
    </row>
    <row r="358" spans="2:7">
      <c r="B358" s="23"/>
      <c r="C358" s="23"/>
      <c r="D358" s="22"/>
      <c r="E358" s="25"/>
      <c r="F358" s="23"/>
      <c r="G358" t="str">
        <f t="shared" si="5"/>
        <v/>
      </c>
    </row>
    <row r="359" spans="2:7">
      <c r="B359" s="23"/>
      <c r="C359" s="23"/>
      <c r="D359" s="22"/>
      <c r="E359" s="25"/>
      <c r="F359" s="23"/>
      <c r="G359" t="str">
        <f t="shared" si="5"/>
        <v/>
      </c>
    </row>
    <row r="360" spans="2:7">
      <c r="B360" s="23"/>
      <c r="C360" s="23"/>
      <c r="D360" s="22"/>
      <c r="E360" s="25"/>
      <c r="F360" s="23"/>
      <c r="G360" t="str">
        <f t="shared" si="5"/>
        <v/>
      </c>
    </row>
    <row r="361" spans="2:7">
      <c r="B361" s="23"/>
      <c r="C361" s="23"/>
      <c r="D361" s="22"/>
      <c r="E361" s="25"/>
      <c r="F361" s="23"/>
      <c r="G361" t="str">
        <f t="shared" si="5"/>
        <v/>
      </c>
    </row>
    <row r="362" spans="2:7">
      <c r="B362" s="23"/>
      <c r="C362" s="23"/>
      <c r="D362" s="22"/>
      <c r="E362" s="25"/>
      <c r="F362" s="23"/>
      <c r="G362" t="str">
        <f t="shared" si="5"/>
        <v/>
      </c>
    </row>
    <row r="363" spans="2:7">
      <c r="B363" s="23"/>
      <c r="C363" s="23"/>
      <c r="D363" s="22"/>
      <c r="E363" s="25"/>
      <c r="F363" s="23"/>
      <c r="G363" t="str">
        <f t="shared" si="5"/>
        <v/>
      </c>
    </row>
    <row r="364" spans="2:7">
      <c r="B364" s="23"/>
      <c r="C364" s="23"/>
      <c r="D364" s="22"/>
      <c r="E364" s="25"/>
      <c r="F364" s="23"/>
      <c r="G364" t="str">
        <f t="shared" si="5"/>
        <v/>
      </c>
    </row>
    <row r="365" spans="2:7">
      <c r="B365" s="23"/>
      <c r="C365" s="23"/>
      <c r="D365" s="22"/>
      <c r="E365" s="25"/>
      <c r="F365" s="23"/>
      <c r="G365" t="str">
        <f t="shared" si="5"/>
        <v/>
      </c>
    </row>
    <row r="366" spans="2:7">
      <c r="B366" s="23"/>
      <c r="C366" s="23"/>
      <c r="D366" s="22"/>
      <c r="E366" s="25"/>
      <c r="F366" s="23"/>
      <c r="G366" t="str">
        <f t="shared" si="5"/>
        <v/>
      </c>
    </row>
    <row r="367" spans="2:7">
      <c r="B367" s="23"/>
      <c r="C367" s="23"/>
      <c r="D367" s="22"/>
      <c r="E367" s="25"/>
      <c r="F367" s="23"/>
      <c r="G367" t="str">
        <f t="shared" si="5"/>
        <v/>
      </c>
    </row>
    <row r="368" spans="2:7">
      <c r="B368" s="23"/>
      <c r="C368" s="23"/>
      <c r="D368" s="22"/>
      <c r="E368" s="25"/>
      <c r="F368" s="23"/>
      <c r="G368" t="str">
        <f t="shared" si="5"/>
        <v/>
      </c>
    </row>
    <row r="369" spans="2:7">
      <c r="B369" s="23"/>
      <c r="C369" s="23"/>
      <c r="D369" s="22"/>
      <c r="E369" s="25"/>
      <c r="F369" s="23"/>
      <c r="G369" t="str">
        <f t="shared" si="5"/>
        <v/>
      </c>
    </row>
    <row r="370" spans="2:7">
      <c r="B370" s="23"/>
      <c r="C370" s="23"/>
      <c r="D370" s="22"/>
      <c r="E370" s="25"/>
      <c r="F370" s="23"/>
      <c r="G370" t="str">
        <f t="shared" si="5"/>
        <v/>
      </c>
    </row>
    <row r="371" spans="2:7">
      <c r="B371" s="23"/>
      <c r="C371" s="23"/>
      <c r="D371" s="22"/>
      <c r="E371" s="25"/>
      <c r="F371" s="23"/>
      <c r="G371" t="str">
        <f t="shared" si="5"/>
        <v/>
      </c>
    </row>
    <row r="372" spans="2:7">
      <c r="B372" s="23"/>
      <c r="C372" s="23"/>
      <c r="D372" s="22"/>
      <c r="E372" s="25"/>
      <c r="F372" s="23"/>
      <c r="G372" t="str">
        <f t="shared" si="5"/>
        <v/>
      </c>
    </row>
    <row r="373" spans="2:7">
      <c r="B373" s="23"/>
      <c r="C373" s="23"/>
      <c r="D373" s="22"/>
      <c r="E373" s="25"/>
      <c r="F373" s="23"/>
      <c r="G373" t="str">
        <f t="shared" si="5"/>
        <v/>
      </c>
    </row>
    <row r="374" spans="2:7">
      <c r="B374" s="23"/>
      <c r="C374" s="23"/>
      <c r="D374" s="22"/>
      <c r="E374" s="25"/>
      <c r="F374" s="23"/>
      <c r="G374" t="str">
        <f t="shared" si="5"/>
        <v/>
      </c>
    </row>
    <row r="375" spans="2:7">
      <c r="B375" s="23"/>
      <c r="C375" s="23"/>
      <c r="D375" s="22"/>
      <c r="E375" s="25"/>
      <c r="F375" s="23"/>
      <c r="G375" t="str">
        <f t="shared" si="5"/>
        <v/>
      </c>
    </row>
    <row r="376" spans="2:7">
      <c r="B376" s="23"/>
      <c r="C376" s="23"/>
      <c r="D376" s="22"/>
      <c r="E376" s="25"/>
      <c r="F376" s="23"/>
      <c r="G376" t="str">
        <f t="shared" si="5"/>
        <v/>
      </c>
    </row>
    <row r="377" spans="2:7">
      <c r="B377" s="23"/>
      <c r="C377" s="23"/>
      <c r="D377" s="22"/>
      <c r="E377" s="25"/>
      <c r="F377" s="23"/>
      <c r="G377" t="str">
        <f t="shared" si="5"/>
        <v/>
      </c>
    </row>
    <row r="378" spans="2:7">
      <c r="B378" s="23"/>
      <c r="C378" s="23"/>
      <c r="D378" s="22"/>
      <c r="E378" s="25"/>
      <c r="F378" s="23"/>
      <c r="G378" t="str">
        <f t="shared" si="5"/>
        <v/>
      </c>
    </row>
    <row r="379" spans="2:7">
      <c r="B379" s="23"/>
      <c r="C379" s="23"/>
      <c r="D379" s="22"/>
      <c r="E379" s="25"/>
      <c r="F379" s="23"/>
      <c r="G379" t="str">
        <f t="shared" si="5"/>
        <v/>
      </c>
    </row>
    <row r="380" spans="2:7">
      <c r="B380" s="23"/>
      <c r="C380" s="23"/>
      <c r="D380" s="22"/>
      <c r="E380" s="25"/>
      <c r="F380" s="23"/>
      <c r="G380" t="str">
        <f t="shared" si="5"/>
        <v/>
      </c>
    </row>
    <row r="381" spans="2:7">
      <c r="B381" s="23"/>
      <c r="C381" s="23"/>
      <c r="D381" s="22"/>
      <c r="E381" s="25"/>
      <c r="F381" s="23"/>
      <c r="G381" t="str">
        <f t="shared" si="5"/>
        <v/>
      </c>
    </row>
    <row r="382" spans="2:7">
      <c r="B382" s="23"/>
      <c r="C382" s="23"/>
      <c r="D382" s="22"/>
      <c r="E382" s="25"/>
      <c r="F382" s="23"/>
      <c r="G382" t="str">
        <f t="shared" si="5"/>
        <v/>
      </c>
    </row>
    <row r="383" spans="2:7">
      <c r="B383" s="23"/>
      <c r="C383" s="23"/>
      <c r="D383" s="22"/>
      <c r="E383" s="25"/>
      <c r="F383" s="23"/>
      <c r="G383" t="str">
        <f t="shared" si="5"/>
        <v/>
      </c>
    </row>
    <row r="384" spans="2:7">
      <c r="B384" s="23"/>
      <c r="C384" s="23"/>
      <c r="D384" s="22"/>
      <c r="E384" s="25"/>
      <c r="F384" s="23"/>
      <c r="G384" t="str">
        <f t="shared" si="5"/>
        <v/>
      </c>
    </row>
    <row r="385" spans="2:7">
      <c r="B385" s="23"/>
      <c r="C385" s="23"/>
      <c r="D385" s="22"/>
      <c r="E385" s="25"/>
      <c r="F385" s="23"/>
      <c r="G385" t="str">
        <f t="shared" si="5"/>
        <v/>
      </c>
    </row>
    <row r="386" spans="2:7">
      <c r="B386" s="23"/>
      <c r="C386" s="23"/>
      <c r="D386" s="22"/>
      <c r="E386" s="25"/>
      <c r="F386" s="23"/>
      <c r="G386" t="str">
        <f t="shared" si="5"/>
        <v/>
      </c>
    </row>
    <row r="387" spans="2:7">
      <c r="B387" s="23"/>
      <c r="C387" s="23"/>
      <c r="D387" s="22"/>
      <c r="E387" s="25"/>
      <c r="F387" s="23"/>
      <c r="G387" t="str">
        <f t="shared" si="5"/>
        <v/>
      </c>
    </row>
    <row r="388" spans="2:7">
      <c r="B388" s="23"/>
      <c r="C388" s="23"/>
      <c r="D388" s="22"/>
      <c r="E388" s="25"/>
      <c r="F388" s="23"/>
      <c r="G388" t="str">
        <f t="shared" si="5"/>
        <v/>
      </c>
    </row>
    <row r="389" spans="2:7">
      <c r="B389" s="23"/>
      <c r="C389" s="23"/>
      <c r="D389" s="22"/>
      <c r="E389" s="25"/>
      <c r="F389" s="23"/>
      <c r="G389" t="str">
        <f t="shared" si="5"/>
        <v/>
      </c>
    </row>
    <row r="390" spans="2:7">
      <c r="B390" s="23"/>
      <c r="C390" s="23"/>
      <c r="D390" s="22"/>
      <c r="E390" s="25"/>
      <c r="F390" s="23"/>
      <c r="G390" t="str">
        <f t="shared" si="5"/>
        <v/>
      </c>
    </row>
    <row r="391" spans="2:7">
      <c r="B391" s="23"/>
      <c r="C391" s="23"/>
      <c r="D391" s="22"/>
      <c r="E391" s="25"/>
      <c r="F391" s="23"/>
      <c r="G391" t="str">
        <f t="shared" ref="G391:G454" si="6">IF(B391="","",MONTH(B391))</f>
        <v/>
      </c>
    </row>
    <row r="392" spans="2:7">
      <c r="B392" s="23"/>
      <c r="C392" s="23"/>
      <c r="D392" s="22"/>
      <c r="E392" s="25"/>
      <c r="F392" s="23"/>
      <c r="G392" t="str">
        <f t="shared" si="6"/>
        <v/>
      </c>
    </row>
    <row r="393" spans="2:7">
      <c r="B393" s="23"/>
      <c r="C393" s="23"/>
      <c r="D393" s="22"/>
      <c r="E393" s="25"/>
      <c r="F393" s="23"/>
      <c r="G393" t="str">
        <f t="shared" si="6"/>
        <v/>
      </c>
    </row>
    <row r="394" spans="2:7">
      <c r="B394" s="23"/>
      <c r="C394" s="23"/>
      <c r="D394" s="22"/>
      <c r="E394" s="25"/>
      <c r="F394" s="23"/>
      <c r="G394" t="str">
        <f t="shared" si="6"/>
        <v/>
      </c>
    </row>
    <row r="395" spans="2:7">
      <c r="B395" s="23"/>
      <c r="C395" s="23"/>
      <c r="D395" s="22"/>
      <c r="E395" s="25"/>
      <c r="F395" s="23"/>
      <c r="G395" t="str">
        <f t="shared" si="6"/>
        <v/>
      </c>
    </row>
    <row r="396" spans="2:7">
      <c r="B396" s="23"/>
      <c r="C396" s="23"/>
      <c r="D396" s="22"/>
      <c r="E396" s="25"/>
      <c r="F396" s="23"/>
      <c r="G396" t="str">
        <f t="shared" si="6"/>
        <v/>
      </c>
    </row>
    <row r="397" spans="2:7">
      <c r="B397" s="23"/>
      <c r="C397" s="23"/>
      <c r="D397" s="22"/>
      <c r="E397" s="25"/>
      <c r="F397" s="23"/>
      <c r="G397" t="str">
        <f t="shared" si="6"/>
        <v/>
      </c>
    </row>
    <row r="398" spans="2:7">
      <c r="B398" s="23"/>
      <c r="C398" s="23"/>
      <c r="D398" s="22"/>
      <c r="E398" s="25"/>
      <c r="F398" s="23"/>
      <c r="G398" t="str">
        <f t="shared" si="6"/>
        <v/>
      </c>
    </row>
    <row r="399" spans="2:7">
      <c r="B399" s="23"/>
      <c r="C399" s="23"/>
      <c r="D399" s="22"/>
      <c r="E399" s="25"/>
      <c r="F399" s="23"/>
      <c r="G399" t="str">
        <f t="shared" si="6"/>
        <v/>
      </c>
    </row>
    <row r="400" spans="2:7">
      <c r="B400" s="23"/>
      <c r="C400" s="23"/>
      <c r="D400" s="22"/>
      <c r="E400" s="25"/>
      <c r="F400" s="23"/>
      <c r="G400" t="str">
        <f t="shared" si="6"/>
        <v/>
      </c>
    </row>
    <row r="401" spans="2:7">
      <c r="B401" s="23"/>
      <c r="C401" s="23"/>
      <c r="D401" s="22"/>
      <c r="E401" s="25"/>
      <c r="F401" s="23"/>
      <c r="G401" t="str">
        <f t="shared" si="6"/>
        <v/>
      </c>
    </row>
    <row r="402" spans="2:7">
      <c r="B402" s="23"/>
      <c r="C402" s="23"/>
      <c r="D402" s="22"/>
      <c r="E402" s="25"/>
      <c r="F402" s="23"/>
      <c r="G402" t="str">
        <f t="shared" si="6"/>
        <v/>
      </c>
    </row>
    <row r="403" spans="2:7">
      <c r="B403" s="23"/>
      <c r="C403" s="23"/>
      <c r="D403" s="22"/>
      <c r="E403" s="25"/>
      <c r="F403" s="23"/>
      <c r="G403" t="str">
        <f t="shared" si="6"/>
        <v/>
      </c>
    </row>
    <row r="404" spans="2:7">
      <c r="B404" s="23"/>
      <c r="C404" s="23"/>
      <c r="D404" s="22"/>
      <c r="E404" s="25"/>
      <c r="F404" s="23"/>
      <c r="G404" t="str">
        <f t="shared" si="6"/>
        <v/>
      </c>
    </row>
    <row r="405" spans="2:7">
      <c r="B405" s="23"/>
      <c r="C405" s="23"/>
      <c r="D405" s="22"/>
      <c r="E405" s="25"/>
      <c r="F405" s="23"/>
      <c r="G405" t="str">
        <f t="shared" si="6"/>
        <v/>
      </c>
    </row>
    <row r="406" spans="2:7">
      <c r="B406" s="23"/>
      <c r="C406" s="23"/>
      <c r="D406" s="22"/>
      <c r="E406" s="25"/>
      <c r="F406" s="23"/>
      <c r="G406" t="str">
        <f t="shared" si="6"/>
        <v/>
      </c>
    </row>
    <row r="407" spans="2:7">
      <c r="B407" s="23"/>
      <c r="C407" s="23"/>
      <c r="D407" s="22"/>
      <c r="E407" s="25"/>
      <c r="F407" s="23"/>
      <c r="G407" t="str">
        <f t="shared" si="6"/>
        <v/>
      </c>
    </row>
    <row r="408" spans="2:7">
      <c r="B408" s="23"/>
      <c r="C408" s="23"/>
      <c r="D408" s="22"/>
      <c r="E408" s="25"/>
      <c r="F408" s="23"/>
      <c r="G408" t="str">
        <f t="shared" si="6"/>
        <v/>
      </c>
    </row>
    <row r="409" spans="2:7">
      <c r="B409" s="23"/>
      <c r="C409" s="23"/>
      <c r="D409" s="22"/>
      <c r="E409" s="25"/>
      <c r="F409" s="23"/>
      <c r="G409" t="str">
        <f t="shared" si="6"/>
        <v/>
      </c>
    </row>
    <row r="410" spans="2:7">
      <c r="B410" s="23"/>
      <c r="C410" s="23"/>
      <c r="D410" s="22"/>
      <c r="E410" s="25"/>
      <c r="F410" s="23"/>
      <c r="G410" t="str">
        <f t="shared" si="6"/>
        <v/>
      </c>
    </row>
    <row r="411" spans="2:7">
      <c r="B411" s="23"/>
      <c r="C411" s="23"/>
      <c r="D411" s="22"/>
      <c r="E411" s="25"/>
      <c r="F411" s="23"/>
      <c r="G411" t="str">
        <f t="shared" si="6"/>
        <v/>
      </c>
    </row>
    <row r="412" spans="2:7">
      <c r="B412" s="23"/>
      <c r="C412" s="23"/>
      <c r="D412" s="22"/>
      <c r="E412" s="25"/>
      <c r="F412" s="23"/>
      <c r="G412" t="str">
        <f t="shared" si="6"/>
        <v/>
      </c>
    </row>
    <row r="413" spans="2:7">
      <c r="B413" s="23"/>
      <c r="C413" s="23"/>
      <c r="D413" s="22"/>
      <c r="E413" s="25"/>
      <c r="F413" s="23"/>
      <c r="G413" t="str">
        <f t="shared" si="6"/>
        <v/>
      </c>
    </row>
    <row r="414" spans="2:7">
      <c r="B414" s="23"/>
      <c r="C414" s="23"/>
      <c r="D414" s="22"/>
      <c r="E414" s="25"/>
      <c r="F414" s="23"/>
      <c r="G414" t="str">
        <f t="shared" si="6"/>
        <v/>
      </c>
    </row>
    <row r="415" spans="2:7">
      <c r="B415" s="23"/>
      <c r="C415" s="23"/>
      <c r="D415" s="22"/>
      <c r="E415" s="25"/>
      <c r="F415" s="23"/>
      <c r="G415" t="str">
        <f t="shared" si="6"/>
        <v/>
      </c>
    </row>
    <row r="416" spans="2:7">
      <c r="B416" s="23"/>
      <c r="C416" s="23"/>
      <c r="D416" s="22"/>
      <c r="E416" s="25"/>
      <c r="F416" s="23"/>
      <c r="G416" t="str">
        <f t="shared" si="6"/>
        <v/>
      </c>
    </row>
    <row r="417" spans="2:7">
      <c r="B417" s="23"/>
      <c r="C417" s="23"/>
      <c r="D417" s="22"/>
      <c r="E417" s="25"/>
      <c r="F417" s="23"/>
      <c r="G417" t="str">
        <f t="shared" si="6"/>
        <v/>
      </c>
    </row>
    <row r="418" spans="2:7">
      <c r="B418" s="23"/>
      <c r="C418" s="23"/>
      <c r="D418" s="22"/>
      <c r="E418" s="25"/>
      <c r="F418" s="23"/>
      <c r="G418" t="str">
        <f t="shared" si="6"/>
        <v/>
      </c>
    </row>
    <row r="419" spans="2:7">
      <c r="B419" s="23"/>
      <c r="C419" s="23"/>
      <c r="D419" s="22"/>
      <c r="E419" s="25"/>
      <c r="F419" s="23"/>
      <c r="G419" t="str">
        <f t="shared" si="6"/>
        <v/>
      </c>
    </row>
    <row r="420" spans="2:7">
      <c r="B420" s="23"/>
      <c r="C420" s="23"/>
      <c r="D420" s="22"/>
      <c r="E420" s="25"/>
      <c r="F420" s="23"/>
      <c r="G420" t="str">
        <f t="shared" si="6"/>
        <v/>
      </c>
    </row>
    <row r="421" spans="2:7">
      <c r="B421" s="23"/>
      <c r="C421" s="23"/>
      <c r="D421" s="22"/>
      <c r="E421" s="25"/>
      <c r="F421" s="23"/>
      <c r="G421" t="str">
        <f t="shared" si="6"/>
        <v/>
      </c>
    </row>
    <row r="422" spans="2:7">
      <c r="B422" s="23"/>
      <c r="C422" s="23"/>
      <c r="D422" s="22"/>
      <c r="E422" s="25"/>
      <c r="F422" s="23"/>
      <c r="G422" t="str">
        <f t="shared" si="6"/>
        <v/>
      </c>
    </row>
    <row r="423" spans="2:7">
      <c r="B423" s="23"/>
      <c r="C423" s="23"/>
      <c r="D423" s="22"/>
      <c r="E423" s="25"/>
      <c r="F423" s="23"/>
      <c r="G423" t="str">
        <f t="shared" si="6"/>
        <v/>
      </c>
    </row>
    <row r="424" spans="2:7">
      <c r="B424" s="23"/>
      <c r="C424" s="23"/>
      <c r="D424" s="22"/>
      <c r="E424" s="25"/>
      <c r="F424" s="23"/>
      <c r="G424" t="str">
        <f t="shared" si="6"/>
        <v/>
      </c>
    </row>
    <row r="425" spans="2:7">
      <c r="B425" s="23"/>
      <c r="C425" s="23"/>
      <c r="D425" s="22"/>
      <c r="E425" s="25"/>
      <c r="F425" s="23"/>
      <c r="G425" t="str">
        <f t="shared" si="6"/>
        <v/>
      </c>
    </row>
    <row r="426" spans="2:7">
      <c r="B426" s="23"/>
      <c r="C426" s="23"/>
      <c r="D426" s="22"/>
      <c r="E426" s="25"/>
      <c r="F426" s="23"/>
      <c r="G426" t="str">
        <f t="shared" si="6"/>
        <v/>
      </c>
    </row>
    <row r="427" spans="2:7">
      <c r="B427" s="23"/>
      <c r="C427" s="23"/>
      <c r="D427" s="22"/>
      <c r="E427" s="25"/>
      <c r="F427" s="23"/>
      <c r="G427" t="str">
        <f t="shared" si="6"/>
        <v/>
      </c>
    </row>
    <row r="428" spans="2:7">
      <c r="B428" s="23"/>
      <c r="C428" s="23"/>
      <c r="D428" s="22"/>
      <c r="E428" s="25"/>
      <c r="F428" s="23"/>
      <c r="G428" t="str">
        <f t="shared" si="6"/>
        <v/>
      </c>
    </row>
    <row r="429" spans="2:7">
      <c r="B429" s="23"/>
      <c r="C429" s="23"/>
      <c r="D429" s="22"/>
      <c r="E429" s="25"/>
      <c r="F429" s="23"/>
      <c r="G429" t="str">
        <f t="shared" si="6"/>
        <v/>
      </c>
    </row>
    <row r="430" spans="2:7">
      <c r="B430" s="23"/>
      <c r="C430" s="23"/>
      <c r="D430" s="22"/>
      <c r="E430" s="25"/>
      <c r="F430" s="23"/>
      <c r="G430" t="str">
        <f t="shared" si="6"/>
        <v/>
      </c>
    </row>
    <row r="431" spans="2:7">
      <c r="B431" s="23"/>
      <c r="C431" s="23"/>
      <c r="D431" s="22"/>
      <c r="E431" s="25"/>
      <c r="F431" s="23"/>
      <c r="G431" t="str">
        <f t="shared" si="6"/>
        <v/>
      </c>
    </row>
    <row r="432" spans="2:7">
      <c r="B432" s="23"/>
      <c r="C432" s="23"/>
      <c r="D432" s="22"/>
      <c r="E432" s="25"/>
      <c r="F432" s="23"/>
      <c r="G432" t="str">
        <f t="shared" si="6"/>
        <v/>
      </c>
    </row>
    <row r="433" spans="2:7">
      <c r="B433" s="23"/>
      <c r="C433" s="23"/>
      <c r="D433" s="22"/>
      <c r="E433" s="25"/>
      <c r="F433" s="23"/>
      <c r="G433" t="str">
        <f t="shared" si="6"/>
        <v/>
      </c>
    </row>
    <row r="434" spans="2:7">
      <c r="B434" s="23"/>
      <c r="C434" s="23"/>
      <c r="D434" s="22"/>
      <c r="E434" s="25"/>
      <c r="F434" s="23"/>
      <c r="G434" t="str">
        <f t="shared" si="6"/>
        <v/>
      </c>
    </row>
    <row r="435" spans="2:7">
      <c r="B435" s="23"/>
      <c r="C435" s="23"/>
      <c r="D435" s="22"/>
      <c r="E435" s="25"/>
      <c r="F435" s="23"/>
      <c r="G435" t="str">
        <f t="shared" si="6"/>
        <v/>
      </c>
    </row>
    <row r="436" spans="2:7">
      <c r="B436" s="23"/>
      <c r="C436" s="23"/>
      <c r="D436" s="22"/>
      <c r="E436" s="25"/>
      <c r="F436" s="23"/>
      <c r="G436" t="str">
        <f t="shared" si="6"/>
        <v/>
      </c>
    </row>
    <row r="437" spans="2:7">
      <c r="B437" s="23"/>
      <c r="C437" s="23"/>
      <c r="D437" s="22"/>
      <c r="E437" s="25"/>
      <c r="F437" s="23"/>
      <c r="G437" t="str">
        <f t="shared" si="6"/>
        <v/>
      </c>
    </row>
    <row r="438" spans="2:7">
      <c r="B438" s="23"/>
      <c r="C438" s="23"/>
      <c r="D438" s="22"/>
      <c r="E438" s="25"/>
      <c r="F438" s="23"/>
      <c r="G438" t="str">
        <f t="shared" si="6"/>
        <v/>
      </c>
    </row>
    <row r="439" spans="2:7">
      <c r="B439" s="23"/>
      <c r="C439" s="23"/>
      <c r="D439" s="22"/>
      <c r="E439" s="25"/>
      <c r="F439" s="23"/>
      <c r="G439" t="str">
        <f t="shared" si="6"/>
        <v/>
      </c>
    </row>
    <row r="440" spans="2:7">
      <c r="B440" s="23"/>
      <c r="C440" s="23"/>
      <c r="D440" s="22"/>
      <c r="E440" s="25"/>
      <c r="F440" s="23"/>
      <c r="G440" t="str">
        <f t="shared" si="6"/>
        <v/>
      </c>
    </row>
    <row r="441" spans="2:7">
      <c r="B441" s="23"/>
      <c r="C441" s="23"/>
      <c r="D441" s="22"/>
      <c r="E441" s="25"/>
      <c r="F441" s="23"/>
      <c r="G441" t="str">
        <f t="shared" si="6"/>
        <v/>
      </c>
    </row>
    <row r="442" spans="2:7">
      <c r="B442" s="23"/>
      <c r="C442" s="23"/>
      <c r="D442" s="22"/>
      <c r="E442" s="25"/>
      <c r="F442" s="23"/>
      <c r="G442" t="str">
        <f t="shared" si="6"/>
        <v/>
      </c>
    </row>
    <row r="443" spans="2:7">
      <c r="B443" s="23"/>
      <c r="C443" s="23"/>
      <c r="D443" s="22"/>
      <c r="E443" s="25"/>
      <c r="F443" s="23"/>
      <c r="G443" t="str">
        <f t="shared" si="6"/>
        <v/>
      </c>
    </row>
    <row r="444" spans="2:7">
      <c r="B444" s="23"/>
      <c r="C444" s="23"/>
      <c r="D444" s="22"/>
      <c r="E444" s="25"/>
      <c r="F444" s="23"/>
      <c r="G444" t="str">
        <f t="shared" si="6"/>
        <v/>
      </c>
    </row>
    <row r="445" spans="2:7">
      <c r="B445" s="23"/>
      <c r="C445" s="23"/>
      <c r="D445" s="22"/>
      <c r="E445" s="25"/>
      <c r="F445" s="23"/>
      <c r="G445" t="str">
        <f t="shared" si="6"/>
        <v/>
      </c>
    </row>
    <row r="446" spans="2:7">
      <c r="B446" s="23"/>
      <c r="C446" s="23"/>
      <c r="D446" s="22"/>
      <c r="E446" s="25"/>
      <c r="F446" s="23"/>
      <c r="G446" t="str">
        <f t="shared" si="6"/>
        <v/>
      </c>
    </row>
    <row r="447" spans="2:7">
      <c r="B447" s="23"/>
      <c r="C447" s="23"/>
      <c r="D447" s="22"/>
      <c r="E447" s="25"/>
      <c r="F447" s="23"/>
      <c r="G447" t="str">
        <f t="shared" si="6"/>
        <v/>
      </c>
    </row>
    <row r="448" spans="2:7">
      <c r="B448" s="23"/>
      <c r="C448" s="23"/>
      <c r="D448" s="22"/>
      <c r="E448" s="25"/>
      <c r="F448" s="23"/>
      <c r="G448" t="str">
        <f t="shared" si="6"/>
        <v/>
      </c>
    </row>
    <row r="449" spans="2:7">
      <c r="B449" s="23"/>
      <c r="C449" s="23"/>
      <c r="D449" s="22"/>
      <c r="E449" s="25"/>
      <c r="F449" s="23"/>
      <c r="G449" t="str">
        <f t="shared" si="6"/>
        <v/>
      </c>
    </row>
    <row r="450" spans="2:7">
      <c r="B450" s="23"/>
      <c r="C450" s="23"/>
      <c r="D450" s="22"/>
      <c r="E450" s="25"/>
      <c r="F450" s="23"/>
      <c r="G450" t="str">
        <f t="shared" si="6"/>
        <v/>
      </c>
    </row>
    <row r="451" spans="2:7">
      <c r="B451" s="23"/>
      <c r="C451" s="23"/>
      <c r="D451" s="22"/>
      <c r="E451" s="25"/>
      <c r="F451" s="23"/>
      <c r="G451" t="str">
        <f t="shared" si="6"/>
        <v/>
      </c>
    </row>
    <row r="452" spans="2:7">
      <c r="B452" s="23"/>
      <c r="C452" s="23"/>
      <c r="D452" s="22"/>
      <c r="E452" s="25"/>
      <c r="F452" s="23"/>
      <c r="G452" t="str">
        <f t="shared" si="6"/>
        <v/>
      </c>
    </row>
    <row r="453" spans="2:7">
      <c r="B453" s="23"/>
      <c r="C453" s="23"/>
      <c r="D453" s="22"/>
      <c r="E453" s="25"/>
      <c r="F453" s="23"/>
      <c r="G453" t="str">
        <f t="shared" si="6"/>
        <v/>
      </c>
    </row>
    <row r="454" spans="2:7">
      <c r="B454" s="23"/>
      <c r="C454" s="23"/>
      <c r="D454" s="22"/>
      <c r="E454" s="25"/>
      <c r="F454" s="23"/>
      <c r="G454" t="str">
        <f t="shared" si="6"/>
        <v/>
      </c>
    </row>
    <row r="455" spans="2:7">
      <c r="B455" s="23"/>
      <c r="C455" s="23"/>
      <c r="D455" s="22"/>
      <c r="E455" s="25"/>
      <c r="F455" s="23"/>
      <c r="G455" t="str">
        <f t="shared" ref="G455:G501" si="7">IF(B455="","",MONTH(B455))</f>
        <v/>
      </c>
    </row>
    <row r="456" spans="2:7">
      <c r="B456" s="23"/>
      <c r="C456" s="23"/>
      <c r="D456" s="22"/>
      <c r="E456" s="25"/>
      <c r="F456" s="23"/>
      <c r="G456" t="str">
        <f t="shared" si="7"/>
        <v/>
      </c>
    </row>
    <row r="457" spans="2:7">
      <c r="B457" s="23"/>
      <c r="C457" s="23"/>
      <c r="D457" s="22"/>
      <c r="E457" s="25"/>
      <c r="F457" s="23"/>
      <c r="G457" t="str">
        <f t="shared" si="7"/>
        <v/>
      </c>
    </row>
    <row r="458" spans="2:7">
      <c r="B458" s="23"/>
      <c r="C458" s="23"/>
      <c r="D458" s="22"/>
      <c r="E458" s="25"/>
      <c r="F458" s="23"/>
      <c r="G458" t="str">
        <f t="shared" si="7"/>
        <v/>
      </c>
    </row>
    <row r="459" spans="2:7">
      <c r="B459" s="23"/>
      <c r="C459" s="23"/>
      <c r="D459" s="22"/>
      <c r="E459" s="25"/>
      <c r="F459" s="23"/>
      <c r="G459" t="str">
        <f t="shared" si="7"/>
        <v/>
      </c>
    </row>
    <row r="460" spans="2:7">
      <c r="B460" s="23"/>
      <c r="C460" s="23"/>
      <c r="D460" s="22"/>
      <c r="E460" s="25"/>
      <c r="F460" s="23"/>
      <c r="G460" t="str">
        <f t="shared" si="7"/>
        <v/>
      </c>
    </row>
    <row r="461" spans="2:7">
      <c r="B461" s="23"/>
      <c r="C461" s="23"/>
      <c r="D461" s="22"/>
      <c r="E461" s="25"/>
      <c r="F461" s="23"/>
      <c r="G461" t="str">
        <f t="shared" si="7"/>
        <v/>
      </c>
    </row>
    <row r="462" spans="2:7">
      <c r="B462" s="23"/>
      <c r="C462" s="23"/>
      <c r="D462" s="22"/>
      <c r="E462" s="25"/>
      <c r="F462" s="23"/>
      <c r="G462" t="str">
        <f t="shared" si="7"/>
        <v/>
      </c>
    </row>
    <row r="463" spans="2:7">
      <c r="B463" s="23"/>
      <c r="C463" s="23"/>
      <c r="D463" s="22"/>
      <c r="E463" s="25"/>
      <c r="F463" s="23"/>
      <c r="G463" t="str">
        <f t="shared" si="7"/>
        <v/>
      </c>
    </row>
    <row r="464" spans="2:7">
      <c r="B464" s="23"/>
      <c r="C464" s="23"/>
      <c r="D464" s="22"/>
      <c r="E464" s="25"/>
      <c r="F464" s="23"/>
      <c r="G464" t="str">
        <f t="shared" si="7"/>
        <v/>
      </c>
    </row>
    <row r="465" spans="2:7">
      <c r="B465" s="23"/>
      <c r="C465" s="23"/>
      <c r="D465" s="22"/>
      <c r="E465" s="25"/>
      <c r="F465" s="23"/>
      <c r="G465" t="str">
        <f t="shared" si="7"/>
        <v/>
      </c>
    </row>
    <row r="466" spans="2:7">
      <c r="B466" s="23"/>
      <c r="C466" s="23"/>
      <c r="D466" s="22"/>
      <c r="E466" s="25"/>
      <c r="F466" s="23"/>
      <c r="G466" t="str">
        <f t="shared" si="7"/>
        <v/>
      </c>
    </row>
    <row r="467" spans="2:7">
      <c r="B467" s="23"/>
      <c r="C467" s="23"/>
      <c r="D467" s="22"/>
      <c r="E467" s="25"/>
      <c r="F467" s="23"/>
      <c r="G467" t="str">
        <f t="shared" si="7"/>
        <v/>
      </c>
    </row>
    <row r="468" spans="2:7">
      <c r="B468" s="23"/>
      <c r="C468" s="23"/>
      <c r="D468" s="22"/>
      <c r="E468" s="25"/>
      <c r="F468" s="23"/>
      <c r="G468" t="str">
        <f t="shared" si="7"/>
        <v/>
      </c>
    </row>
    <row r="469" spans="2:7">
      <c r="B469" s="23"/>
      <c r="C469" s="23"/>
      <c r="D469" s="22"/>
      <c r="E469" s="25"/>
      <c r="F469" s="23"/>
      <c r="G469" t="str">
        <f t="shared" si="7"/>
        <v/>
      </c>
    </row>
    <row r="470" spans="2:7">
      <c r="B470" s="23"/>
      <c r="C470" s="23"/>
      <c r="D470" s="22"/>
      <c r="E470" s="25"/>
      <c r="F470" s="23"/>
      <c r="G470" t="str">
        <f t="shared" si="7"/>
        <v/>
      </c>
    </row>
    <row r="471" spans="2:7">
      <c r="B471" s="23"/>
      <c r="C471" s="23"/>
      <c r="D471" s="22"/>
      <c r="E471" s="25"/>
      <c r="F471" s="23"/>
      <c r="G471" t="str">
        <f t="shared" si="7"/>
        <v/>
      </c>
    </row>
    <row r="472" spans="2:7">
      <c r="B472" s="23"/>
      <c r="C472" s="23"/>
      <c r="D472" s="22"/>
      <c r="E472" s="25"/>
      <c r="F472" s="23"/>
      <c r="G472" t="str">
        <f t="shared" si="7"/>
        <v/>
      </c>
    </row>
    <row r="473" spans="2:7">
      <c r="B473" s="23"/>
      <c r="C473" s="23"/>
      <c r="D473" s="22"/>
      <c r="E473" s="25"/>
      <c r="F473" s="23"/>
      <c r="G473" t="str">
        <f t="shared" si="7"/>
        <v/>
      </c>
    </row>
    <row r="474" spans="2:7">
      <c r="B474" s="23"/>
      <c r="C474" s="23"/>
      <c r="D474" s="22"/>
      <c r="E474" s="25"/>
      <c r="F474" s="23"/>
      <c r="G474" t="str">
        <f t="shared" si="7"/>
        <v/>
      </c>
    </row>
    <row r="475" spans="2:7">
      <c r="B475" s="23"/>
      <c r="C475" s="23"/>
      <c r="D475" s="22"/>
      <c r="E475" s="25"/>
      <c r="F475" s="23"/>
      <c r="G475" t="str">
        <f t="shared" si="7"/>
        <v/>
      </c>
    </row>
    <row r="476" spans="2:7">
      <c r="B476" s="23"/>
      <c r="C476" s="23"/>
      <c r="D476" s="22"/>
      <c r="E476" s="25"/>
      <c r="F476" s="23"/>
      <c r="G476" t="str">
        <f t="shared" si="7"/>
        <v/>
      </c>
    </row>
    <row r="477" spans="2:7">
      <c r="B477" s="23"/>
      <c r="C477" s="23"/>
      <c r="D477" s="22"/>
      <c r="E477" s="25"/>
      <c r="F477" s="23"/>
      <c r="G477" t="str">
        <f t="shared" si="7"/>
        <v/>
      </c>
    </row>
    <row r="478" spans="2:7">
      <c r="B478" s="23"/>
      <c r="C478" s="23"/>
      <c r="D478" s="22"/>
      <c r="E478" s="25"/>
      <c r="F478" s="23"/>
      <c r="G478" t="str">
        <f t="shared" si="7"/>
        <v/>
      </c>
    </row>
    <row r="479" spans="2:7">
      <c r="B479" s="23"/>
      <c r="C479" s="23"/>
      <c r="D479" s="22"/>
      <c r="E479" s="25"/>
      <c r="F479" s="23"/>
      <c r="G479" t="str">
        <f t="shared" si="7"/>
        <v/>
      </c>
    </row>
    <row r="480" spans="2:7">
      <c r="B480" s="23"/>
      <c r="C480" s="23"/>
      <c r="D480" s="22"/>
      <c r="E480" s="25"/>
      <c r="F480" s="23"/>
      <c r="G480" t="str">
        <f t="shared" si="7"/>
        <v/>
      </c>
    </row>
    <row r="481" spans="2:7">
      <c r="B481" s="23"/>
      <c r="C481" s="23"/>
      <c r="D481" s="22"/>
      <c r="E481" s="25"/>
      <c r="F481" s="23"/>
      <c r="G481" t="str">
        <f t="shared" si="7"/>
        <v/>
      </c>
    </row>
    <row r="482" spans="2:7">
      <c r="B482" s="23"/>
      <c r="C482" s="23"/>
      <c r="D482" s="22"/>
      <c r="E482" s="25"/>
      <c r="F482" s="23"/>
      <c r="G482" t="str">
        <f t="shared" si="7"/>
        <v/>
      </c>
    </row>
    <row r="483" spans="2:7">
      <c r="B483" s="23"/>
      <c r="C483" s="23"/>
      <c r="D483" s="22"/>
      <c r="E483" s="25"/>
      <c r="F483" s="23"/>
      <c r="G483" t="str">
        <f t="shared" si="7"/>
        <v/>
      </c>
    </row>
    <row r="484" spans="2:7">
      <c r="B484" s="23"/>
      <c r="C484" s="23"/>
      <c r="D484" s="22"/>
      <c r="E484" s="25"/>
      <c r="F484" s="23"/>
      <c r="G484" t="str">
        <f t="shared" si="7"/>
        <v/>
      </c>
    </row>
    <row r="485" spans="2:7">
      <c r="B485" s="23"/>
      <c r="C485" s="23"/>
      <c r="D485" s="22"/>
      <c r="E485" s="25"/>
      <c r="F485" s="23"/>
      <c r="G485" t="str">
        <f t="shared" si="7"/>
        <v/>
      </c>
    </row>
    <row r="486" spans="2:7">
      <c r="B486" s="23"/>
      <c r="C486" s="23"/>
      <c r="D486" s="22"/>
      <c r="E486" s="25"/>
      <c r="F486" s="23"/>
      <c r="G486" t="str">
        <f t="shared" si="7"/>
        <v/>
      </c>
    </row>
    <row r="487" spans="2:7">
      <c r="B487" s="23"/>
      <c r="C487" s="23"/>
      <c r="D487" s="22"/>
      <c r="E487" s="25"/>
      <c r="F487" s="23"/>
      <c r="G487" t="str">
        <f t="shared" si="7"/>
        <v/>
      </c>
    </row>
    <row r="488" spans="2:7">
      <c r="B488" s="23"/>
      <c r="C488" s="23"/>
      <c r="D488" s="22"/>
      <c r="E488" s="25"/>
      <c r="F488" s="23"/>
      <c r="G488" t="str">
        <f t="shared" si="7"/>
        <v/>
      </c>
    </row>
    <row r="489" spans="2:7">
      <c r="B489" s="23"/>
      <c r="C489" s="23"/>
      <c r="D489" s="22"/>
      <c r="E489" s="25"/>
      <c r="F489" s="23"/>
      <c r="G489" t="str">
        <f t="shared" si="7"/>
        <v/>
      </c>
    </row>
    <row r="490" spans="2:7">
      <c r="B490" s="23"/>
      <c r="C490" s="23"/>
      <c r="D490" s="22"/>
      <c r="E490" s="25"/>
      <c r="F490" s="23"/>
      <c r="G490" t="str">
        <f t="shared" si="7"/>
        <v/>
      </c>
    </row>
    <row r="491" spans="2:7">
      <c r="B491" s="23"/>
      <c r="C491" s="23"/>
      <c r="D491" s="22"/>
      <c r="E491" s="25"/>
      <c r="F491" s="23"/>
      <c r="G491" t="str">
        <f t="shared" si="7"/>
        <v/>
      </c>
    </row>
    <row r="492" spans="2:7">
      <c r="B492" s="23"/>
      <c r="C492" s="23"/>
      <c r="D492" s="22"/>
      <c r="E492" s="25"/>
      <c r="F492" s="23"/>
      <c r="G492" t="str">
        <f t="shared" si="7"/>
        <v/>
      </c>
    </row>
    <row r="493" spans="2:7">
      <c r="B493" s="23"/>
      <c r="C493" s="23"/>
      <c r="D493" s="22"/>
      <c r="E493" s="25"/>
      <c r="F493" s="23"/>
      <c r="G493" t="str">
        <f t="shared" si="7"/>
        <v/>
      </c>
    </row>
    <row r="494" spans="2:7">
      <c r="B494" s="23"/>
      <c r="C494" s="23"/>
      <c r="D494" s="22"/>
      <c r="E494" s="25"/>
      <c r="F494" s="23"/>
      <c r="G494" t="str">
        <f t="shared" si="7"/>
        <v/>
      </c>
    </row>
    <row r="495" spans="2:7">
      <c r="B495" s="23"/>
      <c r="C495" s="23"/>
      <c r="D495" s="22"/>
      <c r="E495" s="25"/>
      <c r="F495" s="23"/>
      <c r="G495" t="str">
        <f t="shared" si="7"/>
        <v/>
      </c>
    </row>
    <row r="496" spans="2:7">
      <c r="B496" s="23"/>
      <c r="C496" s="23"/>
      <c r="D496" s="22"/>
      <c r="E496" s="25"/>
      <c r="F496" s="23"/>
      <c r="G496" t="str">
        <f t="shared" si="7"/>
        <v/>
      </c>
    </row>
    <row r="497" spans="2:7">
      <c r="B497" s="23"/>
      <c r="C497" s="23"/>
      <c r="D497" s="22"/>
      <c r="E497" s="25"/>
      <c r="F497" s="23"/>
      <c r="G497" t="str">
        <f t="shared" si="7"/>
        <v/>
      </c>
    </row>
    <row r="498" spans="2:7">
      <c r="B498" s="23"/>
      <c r="C498" s="23"/>
      <c r="D498" s="22"/>
      <c r="E498" s="25"/>
      <c r="F498" s="23"/>
      <c r="G498" t="str">
        <f t="shared" si="7"/>
        <v/>
      </c>
    </row>
    <row r="499" spans="2:7">
      <c r="B499" s="23"/>
      <c r="C499" s="23"/>
      <c r="D499" s="22"/>
      <c r="E499" s="25"/>
      <c r="F499" s="23"/>
      <c r="G499" t="str">
        <f t="shared" si="7"/>
        <v/>
      </c>
    </row>
    <row r="500" spans="2:7">
      <c r="B500" s="23"/>
      <c r="C500" s="23"/>
      <c r="D500" s="22"/>
      <c r="E500" s="25"/>
      <c r="F500" s="23"/>
      <c r="G500" t="str">
        <f t="shared" si="7"/>
        <v/>
      </c>
    </row>
    <row r="501" spans="2:7">
      <c r="B501" s="23"/>
      <c r="C501" s="23"/>
      <c r="D501" s="22"/>
      <c r="E501" s="25"/>
      <c r="F501" s="23"/>
      <c r="G501" t="str">
        <f t="shared" si="7"/>
        <v/>
      </c>
    </row>
  </sheetData>
  <sheetProtection sheet="1" objects="1" scenarios="1" selectLockedCells="1"/>
  <mergeCells count="1">
    <mergeCell ref="A2:C2"/>
  </mergeCells>
  <dataValidations count="3">
    <dataValidation type="list" allowBlank="1" showInputMessage="1" showErrorMessage="1" sqref="C6:C501" xr:uid="{28B8D9E6-8260-4AC7-BE1E-27B87BCC1116}">
      <formula1>Cat_Ingresos</formula1>
    </dataValidation>
    <dataValidation type="list" allowBlank="1" showInputMessage="1" showErrorMessage="1" sqref="F6:F505" xr:uid="{9879320F-8E03-42F4-89E0-84D78221FDD2}">
      <formula1>Metodos_Pago</formula1>
    </dataValidation>
    <dataValidation type="date" allowBlank="1" showInputMessage="1" showErrorMessage="1" error="Solo se permiten fechas validas en formato dd/mm/aaaa" prompt="Introduce la fecha de la operacion en formato dd/mm/aaaa" sqref="B6:B501" xr:uid="{18B0838B-B713-40A8-9CC1-F5486A20C2DC}">
      <formula1>46023</formula1>
      <formula2>46387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71E3D-B903-4359-8878-AA38E84692B8}">
  <sheetPr codeName="Hoja4"/>
  <dimension ref="A2:G501"/>
  <sheetViews>
    <sheetView workbookViewId="0">
      <selection activeCell="D20" sqref="D20"/>
    </sheetView>
  </sheetViews>
  <sheetFormatPr baseColWidth="10" defaultRowHeight="14.4"/>
  <cols>
    <col min="4" max="4" width="19" customWidth="1"/>
    <col min="5" max="5" width="11.5546875" style="4"/>
    <col min="6" max="6" width="16.44140625" customWidth="1"/>
  </cols>
  <sheetData>
    <row r="2" spans="1:7" ht="21">
      <c r="A2" s="40" t="s">
        <v>52</v>
      </c>
      <c r="B2" s="40"/>
      <c r="C2" s="40"/>
      <c r="D2" s="15" t="s">
        <v>54</v>
      </c>
      <c r="E2" s="14">
        <f>SUM(E6:E501)</f>
        <v>990</v>
      </c>
    </row>
    <row r="3" spans="1:7" ht="15">
      <c r="A3" s="13" t="s">
        <v>53</v>
      </c>
      <c r="B3" s="11"/>
      <c r="C3" s="11"/>
      <c r="D3" s="11"/>
      <c r="E3" s="12"/>
    </row>
    <row r="5" spans="1:7">
      <c r="A5" s="16" t="s">
        <v>38</v>
      </c>
      <c r="B5" s="16" t="s">
        <v>39</v>
      </c>
      <c r="C5" s="16" t="s">
        <v>5</v>
      </c>
      <c r="D5" s="16" t="s">
        <v>99</v>
      </c>
      <c r="E5" s="17" t="s">
        <v>41</v>
      </c>
      <c r="F5" s="16" t="s">
        <v>42</v>
      </c>
      <c r="G5" s="16" t="s">
        <v>58</v>
      </c>
    </row>
    <row r="6" spans="1:7">
      <c r="A6" s="16">
        <v>1</v>
      </c>
      <c r="B6" s="32">
        <v>46054</v>
      </c>
      <c r="C6" s="33" t="s">
        <v>101</v>
      </c>
      <c r="D6" s="33" t="s">
        <v>102</v>
      </c>
      <c r="E6" s="34">
        <v>50</v>
      </c>
      <c r="F6" s="33" t="s">
        <v>50</v>
      </c>
      <c r="G6" s="16">
        <f>IF(B6="","",MONTH(B6))</f>
        <v>2</v>
      </c>
    </row>
    <row r="7" spans="1:7">
      <c r="A7" s="16">
        <v>2</v>
      </c>
      <c r="B7" s="32">
        <v>46054</v>
      </c>
      <c r="C7" s="33" t="s">
        <v>12</v>
      </c>
      <c r="D7" s="33" t="s">
        <v>106</v>
      </c>
      <c r="E7" s="34">
        <v>50</v>
      </c>
      <c r="F7" s="33" t="s">
        <v>50</v>
      </c>
      <c r="G7" s="16">
        <f t="shared" ref="G7:G70" si="0">IF(B7="","",MONTH(B7))</f>
        <v>2</v>
      </c>
    </row>
    <row r="8" spans="1:7">
      <c r="A8" s="16">
        <v>3</v>
      </c>
      <c r="B8" s="32">
        <v>46055</v>
      </c>
      <c r="C8" s="33" t="s">
        <v>13</v>
      </c>
      <c r="D8" s="33" t="s">
        <v>111</v>
      </c>
      <c r="E8" s="34">
        <v>750</v>
      </c>
      <c r="F8" s="33" t="s">
        <v>51</v>
      </c>
      <c r="G8" s="16">
        <f t="shared" si="0"/>
        <v>2</v>
      </c>
    </row>
    <row r="9" spans="1:7">
      <c r="A9" s="16">
        <v>4</v>
      </c>
      <c r="B9" s="32">
        <v>46057</v>
      </c>
      <c r="C9" s="33" t="s">
        <v>15</v>
      </c>
      <c r="D9" s="33" t="s">
        <v>121</v>
      </c>
      <c r="E9" s="34">
        <v>45</v>
      </c>
      <c r="F9" s="33" t="s">
        <v>49</v>
      </c>
      <c r="G9" s="16">
        <f t="shared" si="0"/>
        <v>2</v>
      </c>
    </row>
    <row r="10" spans="1:7">
      <c r="A10" s="16"/>
      <c r="B10" s="32">
        <v>46058</v>
      </c>
      <c r="C10" s="33" t="s">
        <v>14</v>
      </c>
      <c r="D10" s="33" t="s">
        <v>119</v>
      </c>
      <c r="E10" s="34">
        <v>35</v>
      </c>
      <c r="F10" s="33" t="s">
        <v>49</v>
      </c>
      <c r="G10" s="16">
        <f t="shared" si="0"/>
        <v>2</v>
      </c>
    </row>
    <row r="11" spans="1:7">
      <c r="A11" s="16"/>
      <c r="B11" s="32">
        <v>46060</v>
      </c>
      <c r="C11" s="33" t="s">
        <v>9</v>
      </c>
      <c r="D11" s="33" t="s">
        <v>126</v>
      </c>
      <c r="E11" s="34">
        <v>60</v>
      </c>
      <c r="F11" s="33" t="s">
        <v>47</v>
      </c>
      <c r="G11" s="16">
        <f t="shared" si="0"/>
        <v>2</v>
      </c>
    </row>
    <row r="12" spans="1:7">
      <c r="A12" s="16"/>
      <c r="B12" s="35"/>
      <c r="C12" s="33"/>
      <c r="D12" s="33"/>
      <c r="E12" s="34"/>
      <c r="F12" s="33"/>
      <c r="G12" s="16" t="str">
        <f t="shared" si="0"/>
        <v/>
      </c>
    </row>
    <row r="13" spans="1:7">
      <c r="A13" s="16"/>
      <c r="B13" s="35"/>
      <c r="C13" s="33"/>
      <c r="D13" s="33"/>
      <c r="E13" s="34"/>
      <c r="F13" s="33"/>
      <c r="G13" s="16" t="str">
        <f t="shared" si="0"/>
        <v/>
      </c>
    </row>
    <row r="14" spans="1:7">
      <c r="A14" s="16"/>
      <c r="B14" s="35"/>
      <c r="C14" s="33"/>
      <c r="D14" s="33"/>
      <c r="E14" s="34"/>
      <c r="F14" s="33"/>
      <c r="G14" s="16" t="str">
        <f t="shared" si="0"/>
        <v/>
      </c>
    </row>
    <row r="15" spans="1:7">
      <c r="A15" s="16"/>
      <c r="B15" s="35"/>
      <c r="C15" s="33"/>
      <c r="D15" s="33"/>
      <c r="E15" s="34"/>
      <c r="F15" s="33"/>
      <c r="G15" s="16" t="str">
        <f t="shared" si="0"/>
        <v/>
      </c>
    </row>
    <row r="16" spans="1:7">
      <c r="A16" s="16"/>
      <c r="B16" s="35"/>
      <c r="C16" s="33"/>
      <c r="D16" s="33"/>
      <c r="E16" s="34"/>
      <c r="F16" s="33"/>
      <c r="G16" s="16" t="str">
        <f t="shared" si="0"/>
        <v/>
      </c>
    </row>
    <row r="17" spans="1:7">
      <c r="A17" s="16"/>
      <c r="B17" s="35"/>
      <c r="C17" s="33"/>
      <c r="D17" s="33"/>
      <c r="E17" s="34"/>
      <c r="F17" s="33"/>
      <c r="G17" s="16" t="str">
        <f t="shared" si="0"/>
        <v/>
      </c>
    </row>
    <row r="18" spans="1:7">
      <c r="A18" s="16"/>
      <c r="B18" s="35"/>
      <c r="C18" s="33"/>
      <c r="D18" s="33"/>
      <c r="E18" s="34"/>
      <c r="F18" s="33"/>
      <c r="G18" s="16" t="str">
        <f t="shared" si="0"/>
        <v/>
      </c>
    </row>
    <row r="19" spans="1:7">
      <c r="A19" s="16"/>
      <c r="B19" s="35"/>
      <c r="C19" s="33"/>
      <c r="D19" s="33"/>
      <c r="E19" s="34"/>
      <c r="F19" s="33"/>
      <c r="G19" s="16" t="str">
        <f t="shared" si="0"/>
        <v/>
      </c>
    </row>
    <row r="20" spans="1:7">
      <c r="A20" s="16"/>
      <c r="B20" s="35"/>
      <c r="C20" s="33"/>
      <c r="D20" s="33"/>
      <c r="E20" s="34"/>
      <c r="F20" s="33"/>
      <c r="G20" s="16" t="str">
        <f t="shared" si="0"/>
        <v/>
      </c>
    </row>
    <row r="21" spans="1:7">
      <c r="A21" s="16"/>
      <c r="B21" s="35"/>
      <c r="C21" s="33"/>
      <c r="D21" s="33"/>
      <c r="E21" s="34"/>
      <c r="F21" s="33"/>
      <c r="G21" s="16" t="str">
        <f t="shared" si="0"/>
        <v/>
      </c>
    </row>
    <row r="22" spans="1:7">
      <c r="A22" s="16"/>
      <c r="B22" s="35"/>
      <c r="C22" s="33"/>
      <c r="D22" s="33"/>
      <c r="E22" s="34"/>
      <c r="F22" s="33"/>
      <c r="G22" s="16" t="str">
        <f t="shared" si="0"/>
        <v/>
      </c>
    </row>
    <row r="23" spans="1:7">
      <c r="A23" s="16"/>
      <c r="B23" s="35"/>
      <c r="C23" s="33"/>
      <c r="D23" s="33"/>
      <c r="E23" s="34"/>
      <c r="F23" s="33"/>
      <c r="G23" s="16" t="str">
        <f t="shared" si="0"/>
        <v/>
      </c>
    </row>
    <row r="24" spans="1:7">
      <c r="A24" s="16"/>
      <c r="B24" s="35"/>
      <c r="C24" s="33"/>
      <c r="D24" s="33"/>
      <c r="E24" s="34"/>
      <c r="F24" s="33"/>
      <c r="G24" s="16" t="str">
        <f t="shared" si="0"/>
        <v/>
      </c>
    </row>
    <row r="25" spans="1:7">
      <c r="A25" s="16"/>
      <c r="B25" s="35"/>
      <c r="C25" s="33"/>
      <c r="D25" s="33"/>
      <c r="E25" s="34"/>
      <c r="F25" s="33"/>
      <c r="G25" s="16" t="str">
        <f t="shared" si="0"/>
        <v/>
      </c>
    </row>
    <row r="26" spans="1:7">
      <c r="A26" s="16"/>
      <c r="B26" s="35"/>
      <c r="C26" s="33"/>
      <c r="D26" s="33"/>
      <c r="E26" s="34"/>
      <c r="F26" s="33"/>
      <c r="G26" s="16" t="str">
        <f t="shared" si="0"/>
        <v/>
      </c>
    </row>
    <row r="27" spans="1:7">
      <c r="A27" s="16"/>
      <c r="B27" s="35"/>
      <c r="C27" s="33"/>
      <c r="D27" s="33"/>
      <c r="E27" s="34"/>
      <c r="F27" s="33"/>
      <c r="G27" s="16" t="str">
        <f t="shared" si="0"/>
        <v/>
      </c>
    </row>
    <row r="28" spans="1:7">
      <c r="A28" s="16"/>
      <c r="B28" s="35"/>
      <c r="C28" s="33"/>
      <c r="D28" s="33"/>
      <c r="E28" s="34"/>
      <c r="F28" s="33"/>
      <c r="G28" s="16" t="str">
        <f t="shared" si="0"/>
        <v/>
      </c>
    </row>
    <row r="29" spans="1:7">
      <c r="A29" s="16"/>
      <c r="B29" s="35"/>
      <c r="C29" s="33"/>
      <c r="D29" s="33"/>
      <c r="E29" s="34"/>
      <c r="F29" s="33"/>
      <c r="G29" s="16" t="str">
        <f t="shared" si="0"/>
        <v/>
      </c>
    </row>
    <row r="30" spans="1:7">
      <c r="A30" s="16"/>
      <c r="B30" s="35"/>
      <c r="C30" s="33"/>
      <c r="D30" s="33"/>
      <c r="E30" s="34"/>
      <c r="F30" s="33"/>
      <c r="G30" s="16" t="str">
        <f t="shared" si="0"/>
        <v/>
      </c>
    </row>
    <row r="31" spans="1:7">
      <c r="A31" s="16"/>
      <c r="B31" s="35"/>
      <c r="C31" s="33"/>
      <c r="D31" s="33"/>
      <c r="E31" s="34"/>
      <c r="F31" s="33"/>
      <c r="G31" s="16" t="str">
        <f t="shared" si="0"/>
        <v/>
      </c>
    </row>
    <row r="32" spans="1:7">
      <c r="A32" s="16"/>
      <c r="B32" s="35"/>
      <c r="C32" s="33"/>
      <c r="D32" s="33"/>
      <c r="E32" s="34"/>
      <c r="F32" s="33"/>
      <c r="G32" s="16" t="str">
        <f t="shared" si="0"/>
        <v/>
      </c>
    </row>
    <row r="33" spans="1:7">
      <c r="A33" s="16"/>
      <c r="B33" s="35"/>
      <c r="C33" s="33"/>
      <c r="D33" s="33"/>
      <c r="E33" s="34"/>
      <c r="F33" s="33"/>
      <c r="G33" s="16" t="str">
        <f t="shared" si="0"/>
        <v/>
      </c>
    </row>
    <row r="34" spans="1:7">
      <c r="A34" s="16"/>
      <c r="B34" s="35"/>
      <c r="C34" s="33"/>
      <c r="D34" s="33"/>
      <c r="E34" s="34"/>
      <c r="F34" s="33"/>
      <c r="G34" s="16" t="str">
        <f t="shared" si="0"/>
        <v/>
      </c>
    </row>
    <row r="35" spans="1:7">
      <c r="A35" s="16"/>
      <c r="B35" s="35"/>
      <c r="C35" s="33"/>
      <c r="D35" s="33"/>
      <c r="E35" s="34"/>
      <c r="F35" s="33"/>
      <c r="G35" s="16" t="str">
        <f t="shared" si="0"/>
        <v/>
      </c>
    </row>
    <row r="36" spans="1:7">
      <c r="A36" s="16"/>
      <c r="B36" s="35"/>
      <c r="C36" s="33"/>
      <c r="D36" s="33"/>
      <c r="E36" s="34"/>
      <c r="F36" s="33"/>
      <c r="G36" s="16" t="str">
        <f t="shared" si="0"/>
        <v/>
      </c>
    </row>
    <row r="37" spans="1:7">
      <c r="A37" s="16"/>
      <c r="B37" s="35"/>
      <c r="C37" s="33"/>
      <c r="D37" s="33"/>
      <c r="E37" s="34"/>
      <c r="F37" s="33"/>
      <c r="G37" s="16" t="str">
        <f t="shared" si="0"/>
        <v/>
      </c>
    </row>
    <row r="38" spans="1:7">
      <c r="A38" s="16"/>
      <c r="B38" s="35"/>
      <c r="C38" s="33"/>
      <c r="D38" s="33"/>
      <c r="E38" s="34"/>
      <c r="F38" s="33"/>
      <c r="G38" s="16" t="str">
        <f t="shared" si="0"/>
        <v/>
      </c>
    </row>
    <row r="39" spans="1:7">
      <c r="A39" s="16"/>
      <c r="B39" s="35"/>
      <c r="C39" s="33"/>
      <c r="D39" s="33"/>
      <c r="E39" s="34"/>
      <c r="F39" s="33"/>
      <c r="G39" s="16" t="str">
        <f t="shared" si="0"/>
        <v/>
      </c>
    </row>
    <row r="40" spans="1:7">
      <c r="A40" s="16"/>
      <c r="B40" s="35"/>
      <c r="C40" s="33"/>
      <c r="D40" s="33"/>
      <c r="E40" s="34"/>
      <c r="F40" s="33"/>
      <c r="G40" s="16" t="str">
        <f t="shared" si="0"/>
        <v/>
      </c>
    </row>
    <row r="41" spans="1:7">
      <c r="A41" s="16"/>
      <c r="B41" s="35"/>
      <c r="C41" s="33"/>
      <c r="D41" s="33"/>
      <c r="E41" s="34"/>
      <c r="F41" s="33"/>
      <c r="G41" s="16" t="str">
        <f t="shared" si="0"/>
        <v/>
      </c>
    </row>
    <row r="42" spans="1:7">
      <c r="A42" s="16"/>
      <c r="B42" s="35"/>
      <c r="C42" s="33"/>
      <c r="D42" s="33"/>
      <c r="E42" s="34"/>
      <c r="F42" s="33"/>
      <c r="G42" s="16" t="str">
        <f t="shared" si="0"/>
        <v/>
      </c>
    </row>
    <row r="43" spans="1:7">
      <c r="A43" s="16"/>
      <c r="B43" s="35"/>
      <c r="C43" s="33"/>
      <c r="D43" s="33"/>
      <c r="E43" s="34"/>
      <c r="F43" s="33"/>
      <c r="G43" s="16" t="str">
        <f t="shared" si="0"/>
        <v/>
      </c>
    </row>
    <row r="44" spans="1:7">
      <c r="A44" s="16"/>
      <c r="B44" s="35"/>
      <c r="C44" s="33"/>
      <c r="D44" s="33"/>
      <c r="E44" s="34"/>
      <c r="F44" s="33"/>
      <c r="G44" s="16" t="str">
        <f t="shared" si="0"/>
        <v/>
      </c>
    </row>
    <row r="45" spans="1:7">
      <c r="A45" s="16"/>
      <c r="B45" s="35"/>
      <c r="C45" s="33"/>
      <c r="D45" s="33"/>
      <c r="E45" s="34"/>
      <c r="F45" s="33"/>
      <c r="G45" s="16" t="str">
        <f t="shared" si="0"/>
        <v/>
      </c>
    </row>
    <row r="46" spans="1:7">
      <c r="A46" s="16"/>
      <c r="B46" s="35"/>
      <c r="C46" s="33"/>
      <c r="D46" s="33"/>
      <c r="E46" s="34"/>
      <c r="F46" s="33"/>
      <c r="G46" s="16" t="str">
        <f t="shared" si="0"/>
        <v/>
      </c>
    </row>
    <row r="47" spans="1:7">
      <c r="A47" s="16"/>
      <c r="B47" s="35"/>
      <c r="C47" s="33"/>
      <c r="D47" s="33"/>
      <c r="E47" s="34"/>
      <c r="F47" s="33"/>
      <c r="G47" s="16" t="str">
        <f t="shared" si="0"/>
        <v/>
      </c>
    </row>
    <row r="48" spans="1:7">
      <c r="A48" s="16"/>
      <c r="B48" s="35"/>
      <c r="C48" s="33"/>
      <c r="D48" s="33"/>
      <c r="E48" s="34"/>
      <c r="F48" s="33"/>
      <c r="G48" s="16" t="str">
        <f t="shared" si="0"/>
        <v/>
      </c>
    </row>
    <row r="49" spans="1:7">
      <c r="A49" s="16"/>
      <c r="B49" s="35"/>
      <c r="C49" s="33"/>
      <c r="D49" s="33"/>
      <c r="E49" s="34"/>
      <c r="F49" s="33"/>
      <c r="G49" s="16" t="str">
        <f t="shared" si="0"/>
        <v/>
      </c>
    </row>
    <row r="50" spans="1:7">
      <c r="A50" s="16"/>
      <c r="B50" s="35"/>
      <c r="C50" s="33"/>
      <c r="D50" s="33"/>
      <c r="E50" s="34"/>
      <c r="F50" s="33"/>
      <c r="G50" s="16" t="str">
        <f t="shared" si="0"/>
        <v/>
      </c>
    </row>
    <row r="51" spans="1:7">
      <c r="A51" s="16"/>
      <c r="B51" s="35"/>
      <c r="C51" s="33"/>
      <c r="D51" s="33"/>
      <c r="E51" s="34"/>
      <c r="F51" s="33"/>
      <c r="G51" s="16" t="str">
        <f t="shared" si="0"/>
        <v/>
      </c>
    </row>
    <row r="52" spans="1:7">
      <c r="A52" s="16"/>
      <c r="B52" s="35"/>
      <c r="C52" s="33"/>
      <c r="D52" s="33"/>
      <c r="E52" s="34"/>
      <c r="F52" s="33"/>
      <c r="G52" s="16" t="str">
        <f t="shared" si="0"/>
        <v/>
      </c>
    </row>
    <row r="53" spans="1:7">
      <c r="A53" s="16"/>
      <c r="B53" s="35"/>
      <c r="C53" s="33"/>
      <c r="D53" s="33"/>
      <c r="E53" s="34"/>
      <c r="F53" s="33"/>
      <c r="G53" s="16" t="str">
        <f t="shared" si="0"/>
        <v/>
      </c>
    </row>
    <row r="54" spans="1:7">
      <c r="A54" s="16"/>
      <c r="B54" s="35"/>
      <c r="C54" s="33"/>
      <c r="D54" s="33"/>
      <c r="E54" s="34"/>
      <c r="F54" s="33"/>
      <c r="G54" s="16" t="str">
        <f t="shared" si="0"/>
        <v/>
      </c>
    </row>
    <row r="55" spans="1:7">
      <c r="A55" s="16"/>
      <c r="B55" s="35"/>
      <c r="C55" s="33"/>
      <c r="D55" s="33"/>
      <c r="E55" s="34"/>
      <c r="F55" s="33"/>
      <c r="G55" s="16" t="str">
        <f t="shared" si="0"/>
        <v/>
      </c>
    </row>
    <row r="56" spans="1:7">
      <c r="A56" s="16"/>
      <c r="B56" s="35"/>
      <c r="C56" s="33"/>
      <c r="D56" s="33"/>
      <c r="E56" s="34"/>
      <c r="F56" s="33"/>
      <c r="G56" s="16" t="str">
        <f t="shared" si="0"/>
        <v/>
      </c>
    </row>
    <row r="57" spans="1:7">
      <c r="A57" s="16"/>
      <c r="B57" s="35"/>
      <c r="C57" s="33"/>
      <c r="D57" s="33"/>
      <c r="E57" s="34"/>
      <c r="F57" s="33"/>
      <c r="G57" s="16" t="str">
        <f t="shared" si="0"/>
        <v/>
      </c>
    </row>
    <row r="58" spans="1:7">
      <c r="A58" s="16"/>
      <c r="B58" s="35"/>
      <c r="C58" s="33"/>
      <c r="D58" s="33"/>
      <c r="E58" s="34"/>
      <c r="F58" s="33"/>
      <c r="G58" s="16" t="str">
        <f t="shared" si="0"/>
        <v/>
      </c>
    </row>
    <row r="59" spans="1:7">
      <c r="A59" s="16"/>
      <c r="B59" s="35"/>
      <c r="C59" s="33"/>
      <c r="D59" s="33"/>
      <c r="E59" s="34"/>
      <c r="F59" s="33"/>
      <c r="G59" s="16" t="str">
        <f t="shared" si="0"/>
        <v/>
      </c>
    </row>
    <row r="60" spans="1:7">
      <c r="A60" s="16"/>
      <c r="B60" s="35"/>
      <c r="C60" s="33"/>
      <c r="D60" s="33"/>
      <c r="E60" s="34"/>
      <c r="F60" s="33"/>
      <c r="G60" s="16" t="str">
        <f t="shared" si="0"/>
        <v/>
      </c>
    </row>
    <row r="61" spans="1:7">
      <c r="A61" s="16"/>
      <c r="B61" s="35"/>
      <c r="C61" s="33"/>
      <c r="D61" s="33"/>
      <c r="E61" s="34"/>
      <c r="F61" s="33"/>
      <c r="G61" s="16" t="str">
        <f t="shared" si="0"/>
        <v/>
      </c>
    </row>
    <row r="62" spans="1:7">
      <c r="A62" s="16"/>
      <c r="B62" s="35"/>
      <c r="C62" s="33"/>
      <c r="D62" s="33"/>
      <c r="E62" s="34"/>
      <c r="F62" s="33"/>
      <c r="G62" s="16" t="str">
        <f t="shared" si="0"/>
        <v/>
      </c>
    </row>
    <row r="63" spans="1:7">
      <c r="A63" s="16"/>
      <c r="B63" s="35"/>
      <c r="C63" s="33"/>
      <c r="D63" s="33"/>
      <c r="E63" s="34"/>
      <c r="F63" s="33"/>
      <c r="G63" s="16" t="str">
        <f t="shared" si="0"/>
        <v/>
      </c>
    </row>
    <row r="64" spans="1:7">
      <c r="A64" s="16"/>
      <c r="B64" s="35"/>
      <c r="C64" s="33"/>
      <c r="D64" s="33"/>
      <c r="E64" s="34"/>
      <c r="F64" s="33"/>
      <c r="G64" s="16" t="str">
        <f t="shared" si="0"/>
        <v/>
      </c>
    </row>
    <row r="65" spans="1:7">
      <c r="A65" s="16"/>
      <c r="B65" s="35"/>
      <c r="C65" s="33"/>
      <c r="D65" s="33"/>
      <c r="E65" s="34"/>
      <c r="F65" s="33"/>
      <c r="G65" s="16" t="str">
        <f t="shared" si="0"/>
        <v/>
      </c>
    </row>
    <row r="66" spans="1:7">
      <c r="A66" s="16"/>
      <c r="B66" s="35"/>
      <c r="C66" s="33"/>
      <c r="D66" s="33"/>
      <c r="E66" s="34"/>
      <c r="F66" s="33"/>
      <c r="G66" s="16" t="str">
        <f t="shared" si="0"/>
        <v/>
      </c>
    </row>
    <row r="67" spans="1:7">
      <c r="A67" s="16"/>
      <c r="B67" s="35"/>
      <c r="C67" s="33"/>
      <c r="D67" s="33"/>
      <c r="E67" s="34"/>
      <c r="F67" s="33"/>
      <c r="G67" s="16" t="str">
        <f t="shared" si="0"/>
        <v/>
      </c>
    </row>
    <row r="68" spans="1:7">
      <c r="A68" s="16"/>
      <c r="B68" s="35"/>
      <c r="C68" s="33"/>
      <c r="D68" s="33"/>
      <c r="E68" s="34"/>
      <c r="F68" s="33"/>
      <c r="G68" s="16" t="str">
        <f t="shared" si="0"/>
        <v/>
      </c>
    </row>
    <row r="69" spans="1:7">
      <c r="A69" s="16"/>
      <c r="B69" s="35"/>
      <c r="C69" s="33"/>
      <c r="D69" s="33"/>
      <c r="E69" s="34"/>
      <c r="F69" s="33"/>
      <c r="G69" s="16" t="str">
        <f t="shared" si="0"/>
        <v/>
      </c>
    </row>
    <row r="70" spans="1:7">
      <c r="A70" s="16"/>
      <c r="B70" s="35"/>
      <c r="C70" s="33"/>
      <c r="D70" s="33"/>
      <c r="E70" s="34"/>
      <c r="F70" s="33"/>
      <c r="G70" s="16" t="str">
        <f t="shared" si="0"/>
        <v/>
      </c>
    </row>
    <row r="71" spans="1:7">
      <c r="A71" s="16"/>
      <c r="B71" s="35"/>
      <c r="C71" s="33"/>
      <c r="D71" s="33"/>
      <c r="E71" s="34"/>
      <c r="F71" s="33"/>
      <c r="G71" s="16" t="str">
        <f t="shared" ref="G71:G134" si="1">IF(B71="","",MONTH(B71))</f>
        <v/>
      </c>
    </row>
    <row r="72" spans="1:7">
      <c r="A72" s="16"/>
      <c r="B72" s="35"/>
      <c r="C72" s="33"/>
      <c r="D72" s="33"/>
      <c r="E72" s="34"/>
      <c r="F72" s="33"/>
      <c r="G72" s="16" t="str">
        <f t="shared" si="1"/>
        <v/>
      </c>
    </row>
    <row r="73" spans="1:7">
      <c r="A73" s="16"/>
      <c r="B73" s="35"/>
      <c r="C73" s="33"/>
      <c r="D73" s="33"/>
      <c r="E73" s="34"/>
      <c r="F73" s="33"/>
      <c r="G73" s="16" t="str">
        <f t="shared" si="1"/>
        <v/>
      </c>
    </row>
    <row r="74" spans="1:7">
      <c r="A74" s="16"/>
      <c r="B74" s="35"/>
      <c r="C74" s="33"/>
      <c r="D74" s="33"/>
      <c r="E74" s="34"/>
      <c r="F74" s="33"/>
      <c r="G74" s="16" t="str">
        <f t="shared" si="1"/>
        <v/>
      </c>
    </row>
    <row r="75" spans="1:7">
      <c r="A75" s="16"/>
      <c r="B75" s="35"/>
      <c r="C75" s="33"/>
      <c r="D75" s="33"/>
      <c r="E75" s="34"/>
      <c r="F75" s="33"/>
      <c r="G75" s="16" t="str">
        <f t="shared" si="1"/>
        <v/>
      </c>
    </row>
    <row r="76" spans="1:7">
      <c r="A76" s="16"/>
      <c r="B76" s="35"/>
      <c r="C76" s="33"/>
      <c r="D76" s="33"/>
      <c r="E76" s="34"/>
      <c r="F76" s="33"/>
      <c r="G76" s="16" t="str">
        <f t="shared" si="1"/>
        <v/>
      </c>
    </row>
    <row r="77" spans="1:7">
      <c r="A77" s="16"/>
      <c r="B77" s="35"/>
      <c r="C77" s="33"/>
      <c r="D77" s="33"/>
      <c r="E77" s="34"/>
      <c r="F77" s="33"/>
      <c r="G77" s="16" t="str">
        <f t="shared" si="1"/>
        <v/>
      </c>
    </row>
    <row r="78" spans="1:7">
      <c r="A78" s="16"/>
      <c r="B78" s="35"/>
      <c r="C78" s="33"/>
      <c r="D78" s="33"/>
      <c r="E78" s="34"/>
      <c r="F78" s="33"/>
      <c r="G78" s="16" t="str">
        <f t="shared" si="1"/>
        <v/>
      </c>
    </row>
    <row r="79" spans="1:7">
      <c r="A79" s="16"/>
      <c r="B79" s="35"/>
      <c r="C79" s="33"/>
      <c r="D79" s="33"/>
      <c r="E79" s="34"/>
      <c r="F79" s="33"/>
      <c r="G79" s="16" t="str">
        <f t="shared" si="1"/>
        <v/>
      </c>
    </row>
    <row r="80" spans="1:7">
      <c r="A80" s="16"/>
      <c r="B80" s="35"/>
      <c r="C80" s="33"/>
      <c r="D80" s="33"/>
      <c r="E80" s="34"/>
      <c r="F80" s="33"/>
      <c r="G80" s="16" t="str">
        <f t="shared" si="1"/>
        <v/>
      </c>
    </row>
    <row r="81" spans="1:7">
      <c r="A81" s="16"/>
      <c r="B81" s="35"/>
      <c r="C81" s="33"/>
      <c r="D81" s="33"/>
      <c r="E81" s="34"/>
      <c r="F81" s="33"/>
      <c r="G81" s="16" t="str">
        <f t="shared" si="1"/>
        <v/>
      </c>
    </row>
    <row r="82" spans="1:7">
      <c r="A82" s="16"/>
      <c r="B82" s="35"/>
      <c r="C82" s="33"/>
      <c r="D82" s="33"/>
      <c r="E82" s="34"/>
      <c r="F82" s="33"/>
      <c r="G82" s="16" t="str">
        <f t="shared" si="1"/>
        <v/>
      </c>
    </row>
    <row r="83" spans="1:7">
      <c r="A83" s="16"/>
      <c r="B83" s="35"/>
      <c r="C83" s="33"/>
      <c r="D83" s="33"/>
      <c r="E83" s="34"/>
      <c r="F83" s="33"/>
      <c r="G83" s="16" t="str">
        <f t="shared" si="1"/>
        <v/>
      </c>
    </row>
    <row r="84" spans="1:7">
      <c r="A84" s="16"/>
      <c r="B84" s="35"/>
      <c r="C84" s="33"/>
      <c r="D84" s="33"/>
      <c r="E84" s="34"/>
      <c r="F84" s="33"/>
      <c r="G84" s="16" t="str">
        <f t="shared" si="1"/>
        <v/>
      </c>
    </row>
    <row r="85" spans="1:7">
      <c r="A85" s="16"/>
      <c r="B85" s="35"/>
      <c r="C85" s="33"/>
      <c r="D85" s="33"/>
      <c r="E85" s="34"/>
      <c r="F85" s="33"/>
      <c r="G85" s="16" t="str">
        <f t="shared" si="1"/>
        <v/>
      </c>
    </row>
    <row r="86" spans="1:7">
      <c r="A86" s="16"/>
      <c r="B86" s="35"/>
      <c r="C86" s="33"/>
      <c r="D86" s="33"/>
      <c r="E86" s="34"/>
      <c r="F86" s="33"/>
      <c r="G86" s="16" t="str">
        <f t="shared" si="1"/>
        <v/>
      </c>
    </row>
    <row r="87" spans="1:7">
      <c r="A87" s="16"/>
      <c r="B87" s="35"/>
      <c r="C87" s="33"/>
      <c r="D87" s="33"/>
      <c r="E87" s="34"/>
      <c r="F87" s="33"/>
      <c r="G87" s="16" t="str">
        <f t="shared" si="1"/>
        <v/>
      </c>
    </row>
    <row r="88" spans="1:7">
      <c r="A88" s="16"/>
      <c r="B88" s="35"/>
      <c r="C88" s="33"/>
      <c r="D88" s="33"/>
      <c r="E88" s="34"/>
      <c r="F88" s="33"/>
      <c r="G88" s="16" t="str">
        <f t="shared" si="1"/>
        <v/>
      </c>
    </row>
    <row r="89" spans="1:7">
      <c r="A89" s="16"/>
      <c r="B89" s="35"/>
      <c r="C89" s="33"/>
      <c r="D89" s="33"/>
      <c r="E89" s="34"/>
      <c r="F89" s="33"/>
      <c r="G89" s="16" t="str">
        <f t="shared" si="1"/>
        <v/>
      </c>
    </row>
    <row r="90" spans="1:7">
      <c r="A90" s="16"/>
      <c r="B90" s="35"/>
      <c r="C90" s="33"/>
      <c r="D90" s="33"/>
      <c r="E90" s="34"/>
      <c r="F90" s="33"/>
      <c r="G90" s="16" t="str">
        <f t="shared" si="1"/>
        <v/>
      </c>
    </row>
    <row r="91" spans="1:7">
      <c r="A91" s="16"/>
      <c r="B91" s="35"/>
      <c r="C91" s="33"/>
      <c r="D91" s="33"/>
      <c r="E91" s="34"/>
      <c r="F91" s="33"/>
      <c r="G91" s="16" t="str">
        <f t="shared" si="1"/>
        <v/>
      </c>
    </row>
    <row r="92" spans="1:7">
      <c r="A92" s="16"/>
      <c r="B92" s="35"/>
      <c r="C92" s="33"/>
      <c r="D92" s="33"/>
      <c r="E92" s="34"/>
      <c r="F92" s="33"/>
      <c r="G92" s="16" t="str">
        <f t="shared" si="1"/>
        <v/>
      </c>
    </row>
    <row r="93" spans="1:7">
      <c r="A93" s="16"/>
      <c r="B93" s="35"/>
      <c r="C93" s="33"/>
      <c r="D93" s="33"/>
      <c r="E93" s="34"/>
      <c r="F93" s="33"/>
      <c r="G93" s="16" t="str">
        <f t="shared" si="1"/>
        <v/>
      </c>
    </row>
    <row r="94" spans="1:7">
      <c r="A94" s="16"/>
      <c r="B94" s="35"/>
      <c r="C94" s="33"/>
      <c r="D94" s="33"/>
      <c r="E94" s="34"/>
      <c r="F94" s="33"/>
      <c r="G94" s="16" t="str">
        <f t="shared" si="1"/>
        <v/>
      </c>
    </row>
    <row r="95" spans="1:7">
      <c r="A95" s="16"/>
      <c r="B95" s="35"/>
      <c r="C95" s="33"/>
      <c r="D95" s="33"/>
      <c r="E95" s="34"/>
      <c r="F95" s="33"/>
      <c r="G95" s="16" t="str">
        <f t="shared" si="1"/>
        <v/>
      </c>
    </row>
    <row r="96" spans="1:7">
      <c r="A96" s="16"/>
      <c r="B96" s="35"/>
      <c r="C96" s="33"/>
      <c r="D96" s="33"/>
      <c r="E96" s="34"/>
      <c r="F96" s="33"/>
      <c r="G96" s="16" t="str">
        <f t="shared" si="1"/>
        <v/>
      </c>
    </row>
    <row r="97" spans="1:7">
      <c r="A97" s="16"/>
      <c r="B97" s="35"/>
      <c r="C97" s="33"/>
      <c r="D97" s="33"/>
      <c r="E97" s="34"/>
      <c r="F97" s="33"/>
      <c r="G97" s="16" t="str">
        <f t="shared" si="1"/>
        <v/>
      </c>
    </row>
    <row r="98" spans="1:7">
      <c r="A98" s="16"/>
      <c r="B98" s="35"/>
      <c r="C98" s="33"/>
      <c r="D98" s="33"/>
      <c r="E98" s="34"/>
      <c r="F98" s="33"/>
      <c r="G98" s="16" t="str">
        <f t="shared" si="1"/>
        <v/>
      </c>
    </row>
    <row r="99" spans="1:7">
      <c r="A99" s="16"/>
      <c r="B99" s="35"/>
      <c r="C99" s="33"/>
      <c r="D99" s="33"/>
      <c r="E99" s="34"/>
      <c r="F99" s="33"/>
      <c r="G99" s="16" t="str">
        <f t="shared" si="1"/>
        <v/>
      </c>
    </row>
    <row r="100" spans="1:7">
      <c r="A100" s="16"/>
      <c r="B100" s="35"/>
      <c r="C100" s="33"/>
      <c r="D100" s="33"/>
      <c r="E100" s="34"/>
      <c r="F100" s="33"/>
      <c r="G100" s="16" t="str">
        <f t="shared" si="1"/>
        <v/>
      </c>
    </row>
    <row r="101" spans="1:7">
      <c r="A101" s="16"/>
      <c r="B101" s="35"/>
      <c r="C101" s="33"/>
      <c r="D101" s="33"/>
      <c r="E101" s="34"/>
      <c r="F101" s="33"/>
      <c r="G101" s="16" t="str">
        <f t="shared" si="1"/>
        <v/>
      </c>
    </row>
    <row r="102" spans="1:7">
      <c r="A102" s="16"/>
      <c r="B102" s="35"/>
      <c r="C102" s="33"/>
      <c r="D102" s="33"/>
      <c r="E102" s="34"/>
      <c r="F102" s="33"/>
      <c r="G102" s="16" t="str">
        <f t="shared" si="1"/>
        <v/>
      </c>
    </row>
    <row r="103" spans="1:7">
      <c r="A103" s="16"/>
      <c r="B103" s="35"/>
      <c r="C103" s="33"/>
      <c r="D103" s="33"/>
      <c r="E103" s="34"/>
      <c r="F103" s="33"/>
      <c r="G103" s="16" t="str">
        <f t="shared" si="1"/>
        <v/>
      </c>
    </row>
    <row r="104" spans="1:7">
      <c r="A104" s="16"/>
      <c r="B104" s="35"/>
      <c r="C104" s="33"/>
      <c r="D104" s="33"/>
      <c r="E104" s="34"/>
      <c r="F104" s="33"/>
      <c r="G104" s="16" t="str">
        <f t="shared" si="1"/>
        <v/>
      </c>
    </row>
    <row r="105" spans="1:7">
      <c r="A105" s="16"/>
      <c r="B105" s="35"/>
      <c r="C105" s="33"/>
      <c r="D105" s="33"/>
      <c r="E105" s="34"/>
      <c r="F105" s="33"/>
      <c r="G105" s="16" t="str">
        <f t="shared" si="1"/>
        <v/>
      </c>
    </row>
    <row r="106" spans="1:7">
      <c r="A106" s="16"/>
      <c r="B106" s="35"/>
      <c r="C106" s="33"/>
      <c r="D106" s="33"/>
      <c r="E106" s="34"/>
      <c r="F106" s="33"/>
      <c r="G106" s="16" t="str">
        <f t="shared" si="1"/>
        <v/>
      </c>
    </row>
    <row r="107" spans="1:7">
      <c r="A107" s="16"/>
      <c r="B107" s="35"/>
      <c r="C107" s="33"/>
      <c r="D107" s="33"/>
      <c r="E107" s="34"/>
      <c r="F107" s="33"/>
      <c r="G107" s="16" t="str">
        <f t="shared" si="1"/>
        <v/>
      </c>
    </row>
    <row r="108" spans="1:7">
      <c r="A108" s="16"/>
      <c r="B108" s="35"/>
      <c r="C108" s="33"/>
      <c r="D108" s="33"/>
      <c r="E108" s="34"/>
      <c r="F108" s="33"/>
      <c r="G108" s="16" t="str">
        <f t="shared" si="1"/>
        <v/>
      </c>
    </row>
    <row r="109" spans="1:7">
      <c r="A109" s="16"/>
      <c r="B109" s="35"/>
      <c r="C109" s="33"/>
      <c r="D109" s="33"/>
      <c r="E109" s="34"/>
      <c r="F109" s="33"/>
      <c r="G109" s="16" t="str">
        <f t="shared" si="1"/>
        <v/>
      </c>
    </row>
    <row r="110" spans="1:7">
      <c r="A110" s="16"/>
      <c r="B110" s="35"/>
      <c r="C110" s="33"/>
      <c r="D110" s="33"/>
      <c r="E110" s="34"/>
      <c r="F110" s="33"/>
      <c r="G110" s="16" t="str">
        <f t="shared" si="1"/>
        <v/>
      </c>
    </row>
    <row r="111" spans="1:7">
      <c r="A111" s="16"/>
      <c r="B111" s="35"/>
      <c r="C111" s="33"/>
      <c r="D111" s="33"/>
      <c r="E111" s="34"/>
      <c r="F111" s="33"/>
      <c r="G111" s="16" t="str">
        <f t="shared" si="1"/>
        <v/>
      </c>
    </row>
    <row r="112" spans="1:7">
      <c r="A112" s="16"/>
      <c r="B112" s="35"/>
      <c r="C112" s="33"/>
      <c r="D112" s="33"/>
      <c r="E112" s="34"/>
      <c r="F112" s="33"/>
      <c r="G112" s="16" t="str">
        <f t="shared" si="1"/>
        <v/>
      </c>
    </row>
    <row r="113" spans="1:7">
      <c r="A113" s="16"/>
      <c r="B113" s="35"/>
      <c r="C113" s="33"/>
      <c r="D113" s="33"/>
      <c r="E113" s="34"/>
      <c r="F113" s="33"/>
      <c r="G113" s="16" t="str">
        <f t="shared" si="1"/>
        <v/>
      </c>
    </row>
    <row r="114" spans="1:7">
      <c r="A114" s="16"/>
      <c r="B114" s="35"/>
      <c r="C114" s="33"/>
      <c r="D114" s="33"/>
      <c r="E114" s="34"/>
      <c r="F114" s="33"/>
      <c r="G114" s="16" t="str">
        <f t="shared" si="1"/>
        <v/>
      </c>
    </row>
    <row r="115" spans="1:7">
      <c r="A115" s="16"/>
      <c r="B115" s="35"/>
      <c r="C115" s="33"/>
      <c r="D115" s="33"/>
      <c r="E115" s="34"/>
      <c r="F115" s="33"/>
      <c r="G115" s="16" t="str">
        <f t="shared" si="1"/>
        <v/>
      </c>
    </row>
    <row r="116" spans="1:7">
      <c r="A116" s="16"/>
      <c r="B116" s="35"/>
      <c r="C116" s="33"/>
      <c r="D116" s="33"/>
      <c r="E116" s="34"/>
      <c r="F116" s="33"/>
      <c r="G116" s="16" t="str">
        <f t="shared" si="1"/>
        <v/>
      </c>
    </row>
    <row r="117" spans="1:7">
      <c r="A117" s="16"/>
      <c r="B117" s="35"/>
      <c r="C117" s="33"/>
      <c r="D117" s="33"/>
      <c r="E117" s="34"/>
      <c r="F117" s="33"/>
      <c r="G117" s="16" t="str">
        <f t="shared" si="1"/>
        <v/>
      </c>
    </row>
    <row r="118" spans="1:7">
      <c r="A118" s="16"/>
      <c r="B118" s="35"/>
      <c r="C118" s="33"/>
      <c r="D118" s="33"/>
      <c r="E118" s="34"/>
      <c r="F118" s="33"/>
      <c r="G118" s="16" t="str">
        <f t="shared" si="1"/>
        <v/>
      </c>
    </row>
    <row r="119" spans="1:7">
      <c r="A119" s="16"/>
      <c r="B119" s="35"/>
      <c r="C119" s="33"/>
      <c r="D119" s="33"/>
      <c r="E119" s="34"/>
      <c r="F119" s="33"/>
      <c r="G119" s="16" t="str">
        <f t="shared" si="1"/>
        <v/>
      </c>
    </row>
    <row r="120" spans="1:7">
      <c r="A120" s="16"/>
      <c r="B120" s="35"/>
      <c r="C120" s="33"/>
      <c r="D120" s="33"/>
      <c r="E120" s="34"/>
      <c r="F120" s="33"/>
      <c r="G120" s="16" t="str">
        <f t="shared" si="1"/>
        <v/>
      </c>
    </row>
    <row r="121" spans="1:7">
      <c r="A121" s="16"/>
      <c r="B121" s="35"/>
      <c r="C121" s="33"/>
      <c r="D121" s="33"/>
      <c r="E121" s="34"/>
      <c r="F121" s="33"/>
      <c r="G121" s="16" t="str">
        <f t="shared" si="1"/>
        <v/>
      </c>
    </row>
    <row r="122" spans="1:7">
      <c r="A122" s="16"/>
      <c r="B122" s="35"/>
      <c r="C122" s="33"/>
      <c r="D122" s="33"/>
      <c r="E122" s="34"/>
      <c r="F122" s="33"/>
      <c r="G122" s="16" t="str">
        <f t="shared" si="1"/>
        <v/>
      </c>
    </row>
    <row r="123" spans="1:7">
      <c r="A123" s="16"/>
      <c r="B123" s="35"/>
      <c r="C123" s="33"/>
      <c r="D123" s="33"/>
      <c r="E123" s="34"/>
      <c r="F123" s="33"/>
      <c r="G123" s="16" t="str">
        <f t="shared" si="1"/>
        <v/>
      </c>
    </row>
    <row r="124" spans="1:7">
      <c r="A124" s="16"/>
      <c r="B124" s="35"/>
      <c r="C124" s="33"/>
      <c r="D124" s="33"/>
      <c r="E124" s="34"/>
      <c r="F124" s="33"/>
      <c r="G124" s="16" t="str">
        <f t="shared" si="1"/>
        <v/>
      </c>
    </row>
    <row r="125" spans="1:7">
      <c r="A125" s="16"/>
      <c r="B125" s="35"/>
      <c r="C125" s="33"/>
      <c r="D125" s="33"/>
      <c r="E125" s="34"/>
      <c r="F125" s="33"/>
      <c r="G125" s="16" t="str">
        <f t="shared" si="1"/>
        <v/>
      </c>
    </row>
    <row r="126" spans="1:7">
      <c r="A126" s="16"/>
      <c r="B126" s="35"/>
      <c r="C126" s="33"/>
      <c r="D126" s="33"/>
      <c r="E126" s="34"/>
      <c r="F126" s="33"/>
      <c r="G126" s="16" t="str">
        <f t="shared" si="1"/>
        <v/>
      </c>
    </row>
    <row r="127" spans="1:7">
      <c r="A127" s="16"/>
      <c r="B127" s="35"/>
      <c r="C127" s="33"/>
      <c r="D127" s="33"/>
      <c r="E127" s="34"/>
      <c r="F127" s="33"/>
      <c r="G127" s="16" t="str">
        <f t="shared" si="1"/>
        <v/>
      </c>
    </row>
    <row r="128" spans="1:7">
      <c r="A128" s="16"/>
      <c r="B128" s="35"/>
      <c r="C128" s="33"/>
      <c r="D128" s="33"/>
      <c r="E128" s="34"/>
      <c r="F128" s="33"/>
      <c r="G128" s="16" t="str">
        <f t="shared" si="1"/>
        <v/>
      </c>
    </row>
    <row r="129" spans="1:7">
      <c r="A129" s="16"/>
      <c r="B129" s="35"/>
      <c r="C129" s="33"/>
      <c r="D129" s="33"/>
      <c r="E129" s="34"/>
      <c r="F129" s="33"/>
      <c r="G129" s="16" t="str">
        <f t="shared" si="1"/>
        <v/>
      </c>
    </row>
    <row r="130" spans="1:7">
      <c r="A130" s="16"/>
      <c r="B130" s="35"/>
      <c r="C130" s="33"/>
      <c r="D130" s="33"/>
      <c r="E130" s="34"/>
      <c r="F130" s="33"/>
      <c r="G130" s="16" t="str">
        <f t="shared" si="1"/>
        <v/>
      </c>
    </row>
    <row r="131" spans="1:7">
      <c r="A131" s="16"/>
      <c r="B131" s="35"/>
      <c r="C131" s="33"/>
      <c r="D131" s="33"/>
      <c r="E131" s="34"/>
      <c r="F131" s="33"/>
      <c r="G131" s="16" t="str">
        <f t="shared" si="1"/>
        <v/>
      </c>
    </row>
    <row r="132" spans="1:7">
      <c r="A132" s="16"/>
      <c r="B132" s="35"/>
      <c r="C132" s="33"/>
      <c r="D132" s="33"/>
      <c r="E132" s="34"/>
      <c r="F132" s="33"/>
      <c r="G132" s="16" t="str">
        <f t="shared" si="1"/>
        <v/>
      </c>
    </row>
    <row r="133" spans="1:7">
      <c r="A133" s="16"/>
      <c r="B133" s="35"/>
      <c r="C133" s="33"/>
      <c r="D133" s="33"/>
      <c r="E133" s="34"/>
      <c r="F133" s="33"/>
      <c r="G133" s="16" t="str">
        <f t="shared" si="1"/>
        <v/>
      </c>
    </row>
    <row r="134" spans="1:7">
      <c r="A134" s="16"/>
      <c r="B134" s="35"/>
      <c r="C134" s="33"/>
      <c r="D134" s="33"/>
      <c r="E134" s="34"/>
      <c r="F134" s="33"/>
      <c r="G134" s="16" t="str">
        <f t="shared" si="1"/>
        <v/>
      </c>
    </row>
    <row r="135" spans="1:7">
      <c r="A135" s="16"/>
      <c r="B135" s="35"/>
      <c r="C135" s="33"/>
      <c r="D135" s="33"/>
      <c r="E135" s="34"/>
      <c r="F135" s="33"/>
      <c r="G135" s="16" t="str">
        <f t="shared" ref="G135:G198" si="2">IF(B135="","",MONTH(B135))</f>
        <v/>
      </c>
    </row>
    <row r="136" spans="1:7">
      <c r="A136" s="16"/>
      <c r="B136" s="35"/>
      <c r="C136" s="33"/>
      <c r="D136" s="33"/>
      <c r="E136" s="34"/>
      <c r="F136" s="33"/>
      <c r="G136" s="16" t="str">
        <f t="shared" si="2"/>
        <v/>
      </c>
    </row>
    <row r="137" spans="1:7">
      <c r="A137" s="16"/>
      <c r="B137" s="35"/>
      <c r="C137" s="33"/>
      <c r="D137" s="33"/>
      <c r="E137" s="34"/>
      <c r="F137" s="33"/>
      <c r="G137" s="16" t="str">
        <f t="shared" si="2"/>
        <v/>
      </c>
    </row>
    <row r="138" spans="1:7">
      <c r="A138" s="16"/>
      <c r="B138" s="35"/>
      <c r="C138" s="33"/>
      <c r="D138" s="33"/>
      <c r="E138" s="34"/>
      <c r="F138" s="33"/>
      <c r="G138" s="16" t="str">
        <f t="shared" si="2"/>
        <v/>
      </c>
    </row>
    <row r="139" spans="1:7">
      <c r="A139" s="16"/>
      <c r="B139" s="35"/>
      <c r="C139" s="33"/>
      <c r="D139" s="33"/>
      <c r="E139" s="34"/>
      <c r="F139" s="33"/>
      <c r="G139" s="16" t="str">
        <f t="shared" si="2"/>
        <v/>
      </c>
    </row>
    <row r="140" spans="1:7">
      <c r="A140" s="16"/>
      <c r="B140" s="35"/>
      <c r="C140" s="33"/>
      <c r="D140" s="33"/>
      <c r="E140" s="34"/>
      <c r="F140" s="33"/>
      <c r="G140" s="16" t="str">
        <f t="shared" si="2"/>
        <v/>
      </c>
    </row>
    <row r="141" spans="1:7">
      <c r="A141" s="16"/>
      <c r="B141" s="35"/>
      <c r="C141" s="33"/>
      <c r="D141" s="33"/>
      <c r="E141" s="34"/>
      <c r="F141" s="33"/>
      <c r="G141" s="16" t="str">
        <f t="shared" si="2"/>
        <v/>
      </c>
    </row>
    <row r="142" spans="1:7">
      <c r="A142" s="16"/>
      <c r="B142" s="35"/>
      <c r="C142" s="33"/>
      <c r="D142" s="33"/>
      <c r="E142" s="34"/>
      <c r="F142" s="33"/>
      <c r="G142" s="16" t="str">
        <f t="shared" si="2"/>
        <v/>
      </c>
    </row>
    <row r="143" spans="1:7">
      <c r="A143" s="16"/>
      <c r="B143" s="35"/>
      <c r="C143" s="33"/>
      <c r="D143" s="33"/>
      <c r="E143" s="34"/>
      <c r="F143" s="33"/>
      <c r="G143" s="16" t="str">
        <f t="shared" si="2"/>
        <v/>
      </c>
    </row>
    <row r="144" spans="1:7">
      <c r="A144" s="16"/>
      <c r="B144" s="35"/>
      <c r="C144" s="33"/>
      <c r="D144" s="33"/>
      <c r="E144" s="34"/>
      <c r="F144" s="33"/>
      <c r="G144" s="16" t="str">
        <f t="shared" si="2"/>
        <v/>
      </c>
    </row>
    <row r="145" spans="1:7">
      <c r="A145" s="16"/>
      <c r="B145" s="35"/>
      <c r="C145" s="33"/>
      <c r="D145" s="33"/>
      <c r="E145" s="34"/>
      <c r="F145" s="33"/>
      <c r="G145" s="16" t="str">
        <f t="shared" si="2"/>
        <v/>
      </c>
    </row>
    <row r="146" spans="1:7">
      <c r="A146" s="16"/>
      <c r="B146" s="35"/>
      <c r="C146" s="33"/>
      <c r="D146" s="33"/>
      <c r="E146" s="34"/>
      <c r="F146" s="33"/>
      <c r="G146" s="16" t="str">
        <f t="shared" si="2"/>
        <v/>
      </c>
    </row>
    <row r="147" spans="1:7">
      <c r="A147" s="16"/>
      <c r="B147" s="35"/>
      <c r="C147" s="33"/>
      <c r="D147" s="33"/>
      <c r="E147" s="34"/>
      <c r="F147" s="33"/>
      <c r="G147" s="16" t="str">
        <f t="shared" si="2"/>
        <v/>
      </c>
    </row>
    <row r="148" spans="1:7">
      <c r="A148" s="16"/>
      <c r="B148" s="35"/>
      <c r="C148" s="33"/>
      <c r="D148" s="33"/>
      <c r="E148" s="34"/>
      <c r="F148" s="33"/>
      <c r="G148" s="16" t="str">
        <f t="shared" si="2"/>
        <v/>
      </c>
    </row>
    <row r="149" spans="1:7">
      <c r="A149" s="16"/>
      <c r="B149" s="35"/>
      <c r="C149" s="33"/>
      <c r="D149" s="33"/>
      <c r="E149" s="34"/>
      <c r="F149" s="33"/>
      <c r="G149" s="16" t="str">
        <f t="shared" si="2"/>
        <v/>
      </c>
    </row>
    <row r="150" spans="1:7">
      <c r="A150" s="16"/>
      <c r="B150" s="35"/>
      <c r="C150" s="33"/>
      <c r="D150" s="33"/>
      <c r="E150" s="34"/>
      <c r="F150" s="33"/>
      <c r="G150" s="16" t="str">
        <f t="shared" si="2"/>
        <v/>
      </c>
    </row>
    <row r="151" spans="1:7">
      <c r="A151" s="16"/>
      <c r="B151" s="35"/>
      <c r="C151" s="33"/>
      <c r="D151" s="33"/>
      <c r="E151" s="34"/>
      <c r="F151" s="33"/>
      <c r="G151" s="16" t="str">
        <f t="shared" si="2"/>
        <v/>
      </c>
    </row>
    <row r="152" spans="1:7">
      <c r="A152" s="16"/>
      <c r="B152" s="35"/>
      <c r="C152" s="33"/>
      <c r="D152" s="33"/>
      <c r="E152" s="34"/>
      <c r="F152" s="33"/>
      <c r="G152" s="16" t="str">
        <f t="shared" si="2"/>
        <v/>
      </c>
    </row>
    <row r="153" spans="1:7">
      <c r="A153" s="16"/>
      <c r="B153" s="35"/>
      <c r="C153" s="33"/>
      <c r="D153" s="33"/>
      <c r="E153" s="34"/>
      <c r="F153" s="33"/>
      <c r="G153" s="16" t="str">
        <f t="shared" si="2"/>
        <v/>
      </c>
    </row>
    <row r="154" spans="1:7">
      <c r="A154" s="16"/>
      <c r="B154" s="35"/>
      <c r="C154" s="33"/>
      <c r="D154" s="33"/>
      <c r="E154" s="34"/>
      <c r="F154" s="33"/>
      <c r="G154" s="16" t="str">
        <f t="shared" si="2"/>
        <v/>
      </c>
    </row>
    <row r="155" spans="1:7">
      <c r="A155" s="16"/>
      <c r="B155" s="35"/>
      <c r="C155" s="33"/>
      <c r="D155" s="33"/>
      <c r="E155" s="34"/>
      <c r="F155" s="33"/>
      <c r="G155" s="16" t="str">
        <f t="shared" si="2"/>
        <v/>
      </c>
    </row>
    <row r="156" spans="1:7">
      <c r="A156" s="16"/>
      <c r="B156" s="35"/>
      <c r="C156" s="33"/>
      <c r="D156" s="33"/>
      <c r="E156" s="34"/>
      <c r="F156" s="33"/>
      <c r="G156" s="16" t="str">
        <f t="shared" si="2"/>
        <v/>
      </c>
    </row>
    <row r="157" spans="1:7">
      <c r="A157" s="16"/>
      <c r="B157" s="35"/>
      <c r="C157" s="33"/>
      <c r="D157" s="33"/>
      <c r="E157" s="34"/>
      <c r="F157" s="33"/>
      <c r="G157" s="16" t="str">
        <f t="shared" si="2"/>
        <v/>
      </c>
    </row>
    <row r="158" spans="1:7">
      <c r="A158" s="16"/>
      <c r="B158" s="35"/>
      <c r="C158" s="33"/>
      <c r="D158" s="33"/>
      <c r="E158" s="34"/>
      <c r="F158" s="33"/>
      <c r="G158" s="16" t="str">
        <f t="shared" si="2"/>
        <v/>
      </c>
    </row>
    <row r="159" spans="1:7">
      <c r="A159" s="16"/>
      <c r="B159" s="35"/>
      <c r="C159" s="33"/>
      <c r="D159" s="33"/>
      <c r="E159" s="34"/>
      <c r="F159" s="33"/>
      <c r="G159" s="16" t="str">
        <f t="shared" si="2"/>
        <v/>
      </c>
    </row>
    <row r="160" spans="1:7">
      <c r="A160" s="16"/>
      <c r="B160" s="35"/>
      <c r="C160" s="33"/>
      <c r="D160" s="33"/>
      <c r="E160" s="34"/>
      <c r="F160" s="33"/>
      <c r="G160" s="16" t="str">
        <f t="shared" si="2"/>
        <v/>
      </c>
    </row>
    <row r="161" spans="1:7">
      <c r="A161" s="16"/>
      <c r="B161" s="35"/>
      <c r="C161" s="33"/>
      <c r="D161" s="33"/>
      <c r="E161" s="34"/>
      <c r="F161" s="33"/>
      <c r="G161" s="16" t="str">
        <f t="shared" si="2"/>
        <v/>
      </c>
    </row>
    <row r="162" spans="1:7">
      <c r="A162" s="16"/>
      <c r="B162" s="35"/>
      <c r="C162" s="33"/>
      <c r="D162" s="33"/>
      <c r="E162" s="34"/>
      <c r="F162" s="33"/>
      <c r="G162" s="16" t="str">
        <f t="shared" si="2"/>
        <v/>
      </c>
    </row>
    <row r="163" spans="1:7">
      <c r="A163" s="16"/>
      <c r="B163" s="35"/>
      <c r="C163" s="33"/>
      <c r="D163" s="33"/>
      <c r="E163" s="34"/>
      <c r="F163" s="33"/>
      <c r="G163" s="16" t="str">
        <f t="shared" si="2"/>
        <v/>
      </c>
    </row>
    <row r="164" spans="1:7">
      <c r="A164" s="16"/>
      <c r="B164" s="35"/>
      <c r="C164" s="33"/>
      <c r="D164" s="33"/>
      <c r="E164" s="34"/>
      <c r="F164" s="33"/>
      <c r="G164" s="16" t="str">
        <f t="shared" si="2"/>
        <v/>
      </c>
    </row>
    <row r="165" spans="1:7">
      <c r="A165" s="16"/>
      <c r="B165" s="35"/>
      <c r="C165" s="33"/>
      <c r="D165" s="33"/>
      <c r="E165" s="34"/>
      <c r="F165" s="33"/>
      <c r="G165" s="16" t="str">
        <f t="shared" si="2"/>
        <v/>
      </c>
    </row>
    <row r="166" spans="1:7">
      <c r="A166" s="16"/>
      <c r="B166" s="35"/>
      <c r="C166" s="33"/>
      <c r="D166" s="33"/>
      <c r="E166" s="34"/>
      <c r="F166" s="33"/>
      <c r="G166" s="16" t="str">
        <f t="shared" si="2"/>
        <v/>
      </c>
    </row>
    <row r="167" spans="1:7">
      <c r="A167" s="16"/>
      <c r="B167" s="35"/>
      <c r="C167" s="33"/>
      <c r="D167" s="33"/>
      <c r="E167" s="34"/>
      <c r="F167" s="33"/>
      <c r="G167" s="16" t="str">
        <f t="shared" si="2"/>
        <v/>
      </c>
    </row>
    <row r="168" spans="1:7">
      <c r="A168" s="16"/>
      <c r="B168" s="35"/>
      <c r="C168" s="33"/>
      <c r="D168" s="33"/>
      <c r="E168" s="34"/>
      <c r="F168" s="33"/>
      <c r="G168" s="16" t="str">
        <f t="shared" si="2"/>
        <v/>
      </c>
    </row>
    <row r="169" spans="1:7">
      <c r="A169" s="16"/>
      <c r="B169" s="35"/>
      <c r="C169" s="33"/>
      <c r="D169" s="33"/>
      <c r="E169" s="34"/>
      <c r="F169" s="33"/>
      <c r="G169" s="16" t="str">
        <f t="shared" si="2"/>
        <v/>
      </c>
    </row>
    <row r="170" spans="1:7">
      <c r="A170" s="16"/>
      <c r="B170" s="35"/>
      <c r="C170" s="33"/>
      <c r="D170" s="33"/>
      <c r="E170" s="34"/>
      <c r="F170" s="33"/>
      <c r="G170" s="16" t="str">
        <f t="shared" si="2"/>
        <v/>
      </c>
    </row>
    <row r="171" spans="1:7">
      <c r="A171" s="16"/>
      <c r="B171" s="35"/>
      <c r="C171" s="33"/>
      <c r="D171" s="33"/>
      <c r="E171" s="34"/>
      <c r="F171" s="33"/>
      <c r="G171" s="16" t="str">
        <f t="shared" si="2"/>
        <v/>
      </c>
    </row>
    <row r="172" spans="1:7">
      <c r="A172" s="16"/>
      <c r="B172" s="35"/>
      <c r="C172" s="33"/>
      <c r="D172" s="33"/>
      <c r="E172" s="34"/>
      <c r="F172" s="33"/>
      <c r="G172" s="16" t="str">
        <f t="shared" si="2"/>
        <v/>
      </c>
    </row>
    <row r="173" spans="1:7">
      <c r="A173" s="16"/>
      <c r="B173" s="35"/>
      <c r="C173" s="33"/>
      <c r="D173" s="33"/>
      <c r="E173" s="34"/>
      <c r="F173" s="33"/>
      <c r="G173" s="16" t="str">
        <f t="shared" si="2"/>
        <v/>
      </c>
    </row>
    <row r="174" spans="1:7">
      <c r="A174" s="16"/>
      <c r="B174" s="35"/>
      <c r="C174" s="33"/>
      <c r="D174" s="33"/>
      <c r="E174" s="34"/>
      <c r="F174" s="33"/>
      <c r="G174" s="16" t="str">
        <f t="shared" si="2"/>
        <v/>
      </c>
    </row>
    <row r="175" spans="1:7">
      <c r="A175" s="16"/>
      <c r="B175" s="35"/>
      <c r="C175" s="33"/>
      <c r="D175" s="33"/>
      <c r="E175" s="34"/>
      <c r="F175" s="33"/>
      <c r="G175" s="16" t="str">
        <f t="shared" si="2"/>
        <v/>
      </c>
    </row>
    <row r="176" spans="1:7">
      <c r="A176" s="16"/>
      <c r="B176" s="35"/>
      <c r="C176" s="33"/>
      <c r="D176" s="33"/>
      <c r="E176" s="34"/>
      <c r="F176" s="33"/>
      <c r="G176" s="16" t="str">
        <f t="shared" si="2"/>
        <v/>
      </c>
    </row>
    <row r="177" spans="1:7">
      <c r="A177" s="16"/>
      <c r="B177" s="35"/>
      <c r="C177" s="33"/>
      <c r="D177" s="33"/>
      <c r="E177" s="34"/>
      <c r="F177" s="33"/>
      <c r="G177" s="16" t="str">
        <f t="shared" si="2"/>
        <v/>
      </c>
    </row>
    <row r="178" spans="1:7">
      <c r="A178" s="16"/>
      <c r="B178" s="35"/>
      <c r="C178" s="33"/>
      <c r="D178" s="33"/>
      <c r="E178" s="34"/>
      <c r="F178" s="33"/>
      <c r="G178" s="16" t="str">
        <f t="shared" si="2"/>
        <v/>
      </c>
    </row>
    <row r="179" spans="1:7">
      <c r="A179" s="16"/>
      <c r="B179" s="35"/>
      <c r="C179" s="33"/>
      <c r="D179" s="33"/>
      <c r="E179" s="34"/>
      <c r="F179" s="33"/>
      <c r="G179" s="16" t="str">
        <f t="shared" si="2"/>
        <v/>
      </c>
    </row>
    <row r="180" spans="1:7">
      <c r="A180" s="16"/>
      <c r="B180" s="35"/>
      <c r="C180" s="33"/>
      <c r="D180" s="33"/>
      <c r="E180" s="34"/>
      <c r="F180" s="33"/>
      <c r="G180" s="16" t="str">
        <f t="shared" si="2"/>
        <v/>
      </c>
    </row>
    <row r="181" spans="1:7">
      <c r="A181" s="16"/>
      <c r="B181" s="35"/>
      <c r="C181" s="33"/>
      <c r="D181" s="33"/>
      <c r="E181" s="34"/>
      <c r="F181" s="33"/>
      <c r="G181" s="16" t="str">
        <f t="shared" si="2"/>
        <v/>
      </c>
    </row>
    <row r="182" spans="1:7">
      <c r="A182" s="16"/>
      <c r="B182" s="35"/>
      <c r="C182" s="33"/>
      <c r="D182" s="33"/>
      <c r="E182" s="34"/>
      <c r="F182" s="33"/>
      <c r="G182" s="16" t="str">
        <f t="shared" si="2"/>
        <v/>
      </c>
    </row>
    <row r="183" spans="1:7">
      <c r="A183" s="16"/>
      <c r="B183" s="35"/>
      <c r="C183" s="33"/>
      <c r="D183" s="33"/>
      <c r="E183" s="34"/>
      <c r="F183" s="33"/>
      <c r="G183" s="16" t="str">
        <f t="shared" si="2"/>
        <v/>
      </c>
    </row>
    <row r="184" spans="1:7">
      <c r="A184" s="16"/>
      <c r="B184" s="35"/>
      <c r="C184" s="33"/>
      <c r="D184" s="33"/>
      <c r="E184" s="34"/>
      <c r="F184" s="33"/>
      <c r="G184" s="16" t="str">
        <f t="shared" si="2"/>
        <v/>
      </c>
    </row>
    <row r="185" spans="1:7">
      <c r="A185" s="16"/>
      <c r="B185" s="35"/>
      <c r="C185" s="33"/>
      <c r="D185" s="33"/>
      <c r="E185" s="34"/>
      <c r="F185" s="33"/>
      <c r="G185" s="16" t="str">
        <f t="shared" si="2"/>
        <v/>
      </c>
    </row>
    <row r="186" spans="1:7">
      <c r="A186" s="16"/>
      <c r="B186" s="35"/>
      <c r="C186" s="33"/>
      <c r="D186" s="33"/>
      <c r="E186" s="34"/>
      <c r="F186" s="33"/>
      <c r="G186" s="16" t="str">
        <f t="shared" si="2"/>
        <v/>
      </c>
    </row>
    <row r="187" spans="1:7">
      <c r="A187" s="16"/>
      <c r="B187" s="35"/>
      <c r="C187" s="33"/>
      <c r="D187" s="33"/>
      <c r="E187" s="34"/>
      <c r="F187" s="33"/>
      <c r="G187" s="16" t="str">
        <f t="shared" si="2"/>
        <v/>
      </c>
    </row>
    <row r="188" spans="1:7">
      <c r="A188" s="16"/>
      <c r="B188" s="35"/>
      <c r="C188" s="33"/>
      <c r="D188" s="33"/>
      <c r="E188" s="34"/>
      <c r="F188" s="33"/>
      <c r="G188" s="16" t="str">
        <f t="shared" si="2"/>
        <v/>
      </c>
    </row>
    <row r="189" spans="1:7">
      <c r="A189" s="16"/>
      <c r="B189" s="35"/>
      <c r="C189" s="33"/>
      <c r="D189" s="33"/>
      <c r="E189" s="34"/>
      <c r="F189" s="33"/>
      <c r="G189" s="16" t="str">
        <f t="shared" si="2"/>
        <v/>
      </c>
    </row>
    <row r="190" spans="1:7">
      <c r="A190" s="16"/>
      <c r="B190" s="35"/>
      <c r="C190" s="33"/>
      <c r="D190" s="33"/>
      <c r="E190" s="34"/>
      <c r="F190" s="33"/>
      <c r="G190" s="16" t="str">
        <f t="shared" si="2"/>
        <v/>
      </c>
    </row>
    <row r="191" spans="1:7">
      <c r="A191" s="16"/>
      <c r="B191" s="35"/>
      <c r="C191" s="33"/>
      <c r="D191" s="33"/>
      <c r="E191" s="34"/>
      <c r="F191" s="33"/>
      <c r="G191" s="16" t="str">
        <f t="shared" si="2"/>
        <v/>
      </c>
    </row>
    <row r="192" spans="1:7">
      <c r="A192" s="16"/>
      <c r="B192" s="35"/>
      <c r="C192" s="33"/>
      <c r="D192" s="33"/>
      <c r="E192" s="34"/>
      <c r="F192" s="33"/>
      <c r="G192" s="16" t="str">
        <f t="shared" si="2"/>
        <v/>
      </c>
    </row>
    <row r="193" spans="1:7">
      <c r="A193" s="16"/>
      <c r="B193" s="35"/>
      <c r="C193" s="33"/>
      <c r="D193" s="33"/>
      <c r="E193" s="34"/>
      <c r="F193" s="33"/>
      <c r="G193" s="16" t="str">
        <f t="shared" si="2"/>
        <v/>
      </c>
    </row>
    <row r="194" spans="1:7">
      <c r="A194" s="16"/>
      <c r="B194" s="35"/>
      <c r="C194" s="33"/>
      <c r="D194" s="33"/>
      <c r="E194" s="34"/>
      <c r="F194" s="33"/>
      <c r="G194" s="16" t="str">
        <f t="shared" si="2"/>
        <v/>
      </c>
    </row>
    <row r="195" spans="1:7">
      <c r="A195" s="16"/>
      <c r="B195" s="35"/>
      <c r="C195" s="33"/>
      <c r="D195" s="33"/>
      <c r="E195" s="34"/>
      <c r="F195" s="33"/>
      <c r="G195" s="16" t="str">
        <f t="shared" si="2"/>
        <v/>
      </c>
    </row>
    <row r="196" spans="1:7">
      <c r="A196" s="16"/>
      <c r="B196" s="35"/>
      <c r="C196" s="33"/>
      <c r="D196" s="33"/>
      <c r="E196" s="34"/>
      <c r="F196" s="33"/>
      <c r="G196" s="16" t="str">
        <f t="shared" si="2"/>
        <v/>
      </c>
    </row>
    <row r="197" spans="1:7">
      <c r="A197" s="16"/>
      <c r="B197" s="35"/>
      <c r="C197" s="33"/>
      <c r="D197" s="33"/>
      <c r="E197" s="34"/>
      <c r="F197" s="33"/>
      <c r="G197" s="16" t="str">
        <f t="shared" si="2"/>
        <v/>
      </c>
    </row>
    <row r="198" spans="1:7">
      <c r="A198" s="16"/>
      <c r="B198" s="35"/>
      <c r="C198" s="33"/>
      <c r="D198" s="33"/>
      <c r="E198" s="34"/>
      <c r="F198" s="33"/>
      <c r="G198" s="16" t="str">
        <f t="shared" si="2"/>
        <v/>
      </c>
    </row>
    <row r="199" spans="1:7">
      <c r="A199" s="16"/>
      <c r="B199" s="35"/>
      <c r="C199" s="33"/>
      <c r="D199" s="33"/>
      <c r="E199" s="34"/>
      <c r="F199" s="33"/>
      <c r="G199" s="16" t="str">
        <f t="shared" ref="G199:G262" si="3">IF(B199="","",MONTH(B199))</f>
        <v/>
      </c>
    </row>
    <row r="200" spans="1:7">
      <c r="A200" s="16"/>
      <c r="B200" s="35"/>
      <c r="C200" s="33"/>
      <c r="D200" s="33"/>
      <c r="E200" s="34"/>
      <c r="F200" s="33"/>
      <c r="G200" s="16" t="str">
        <f t="shared" si="3"/>
        <v/>
      </c>
    </row>
    <row r="201" spans="1:7">
      <c r="A201" s="16"/>
      <c r="B201" s="35"/>
      <c r="C201" s="33"/>
      <c r="D201" s="33"/>
      <c r="E201" s="34"/>
      <c r="F201" s="33"/>
      <c r="G201" s="16" t="str">
        <f t="shared" si="3"/>
        <v/>
      </c>
    </row>
    <row r="202" spans="1:7">
      <c r="A202" s="16"/>
      <c r="B202" s="35"/>
      <c r="C202" s="33"/>
      <c r="D202" s="33"/>
      <c r="E202" s="34"/>
      <c r="F202" s="33"/>
      <c r="G202" s="16" t="str">
        <f t="shared" si="3"/>
        <v/>
      </c>
    </row>
    <row r="203" spans="1:7">
      <c r="A203" s="16"/>
      <c r="B203" s="35"/>
      <c r="C203" s="33"/>
      <c r="D203" s="33"/>
      <c r="E203" s="34"/>
      <c r="F203" s="33"/>
      <c r="G203" s="16" t="str">
        <f t="shared" si="3"/>
        <v/>
      </c>
    </row>
    <row r="204" spans="1:7">
      <c r="A204" s="16"/>
      <c r="B204" s="35"/>
      <c r="C204" s="33"/>
      <c r="D204" s="33"/>
      <c r="E204" s="34"/>
      <c r="F204" s="33"/>
      <c r="G204" s="16" t="str">
        <f t="shared" si="3"/>
        <v/>
      </c>
    </row>
    <row r="205" spans="1:7">
      <c r="A205" s="16"/>
      <c r="B205" s="35"/>
      <c r="C205" s="33"/>
      <c r="D205" s="33"/>
      <c r="E205" s="34"/>
      <c r="F205" s="33"/>
      <c r="G205" s="16" t="str">
        <f t="shared" si="3"/>
        <v/>
      </c>
    </row>
    <row r="206" spans="1:7">
      <c r="A206" s="16"/>
      <c r="B206" s="35"/>
      <c r="C206" s="33"/>
      <c r="D206" s="33"/>
      <c r="E206" s="34"/>
      <c r="F206" s="33"/>
      <c r="G206" s="16" t="str">
        <f t="shared" si="3"/>
        <v/>
      </c>
    </row>
    <row r="207" spans="1:7">
      <c r="A207" s="16"/>
      <c r="B207" s="35"/>
      <c r="C207" s="33"/>
      <c r="D207" s="33"/>
      <c r="E207" s="34"/>
      <c r="F207" s="33"/>
      <c r="G207" s="16" t="str">
        <f t="shared" si="3"/>
        <v/>
      </c>
    </row>
    <row r="208" spans="1:7">
      <c r="A208" s="16"/>
      <c r="B208" s="35"/>
      <c r="C208" s="33"/>
      <c r="D208" s="33"/>
      <c r="E208" s="34"/>
      <c r="F208" s="33"/>
      <c r="G208" s="16" t="str">
        <f t="shared" si="3"/>
        <v/>
      </c>
    </row>
    <row r="209" spans="1:7">
      <c r="A209" s="16"/>
      <c r="B209" s="35"/>
      <c r="C209" s="33"/>
      <c r="D209" s="33"/>
      <c r="E209" s="34"/>
      <c r="F209" s="33"/>
      <c r="G209" s="16" t="str">
        <f t="shared" si="3"/>
        <v/>
      </c>
    </row>
    <row r="210" spans="1:7">
      <c r="A210" s="16"/>
      <c r="B210" s="35"/>
      <c r="C210" s="33"/>
      <c r="D210" s="33"/>
      <c r="E210" s="34"/>
      <c r="F210" s="33"/>
      <c r="G210" s="16" t="str">
        <f t="shared" si="3"/>
        <v/>
      </c>
    </row>
    <row r="211" spans="1:7">
      <c r="A211" s="16"/>
      <c r="B211" s="35"/>
      <c r="C211" s="33"/>
      <c r="D211" s="33"/>
      <c r="E211" s="34"/>
      <c r="F211" s="33"/>
      <c r="G211" s="16" t="str">
        <f t="shared" si="3"/>
        <v/>
      </c>
    </row>
    <row r="212" spans="1:7">
      <c r="A212" s="16"/>
      <c r="B212" s="35"/>
      <c r="C212" s="33"/>
      <c r="D212" s="33"/>
      <c r="E212" s="34"/>
      <c r="F212" s="33"/>
      <c r="G212" s="16" t="str">
        <f t="shared" si="3"/>
        <v/>
      </c>
    </row>
    <row r="213" spans="1:7">
      <c r="A213" s="16"/>
      <c r="B213" s="35"/>
      <c r="C213" s="33"/>
      <c r="D213" s="33"/>
      <c r="E213" s="34"/>
      <c r="F213" s="33"/>
      <c r="G213" s="16" t="str">
        <f t="shared" si="3"/>
        <v/>
      </c>
    </row>
    <row r="214" spans="1:7">
      <c r="A214" s="16"/>
      <c r="B214" s="35"/>
      <c r="C214" s="33"/>
      <c r="D214" s="33"/>
      <c r="E214" s="34"/>
      <c r="F214" s="33"/>
      <c r="G214" s="16" t="str">
        <f t="shared" si="3"/>
        <v/>
      </c>
    </row>
    <row r="215" spans="1:7">
      <c r="A215" s="16"/>
      <c r="B215" s="35"/>
      <c r="C215" s="33"/>
      <c r="D215" s="33"/>
      <c r="E215" s="34"/>
      <c r="F215" s="33"/>
      <c r="G215" s="16" t="str">
        <f t="shared" si="3"/>
        <v/>
      </c>
    </row>
    <row r="216" spans="1:7">
      <c r="A216" s="16"/>
      <c r="B216" s="35"/>
      <c r="C216" s="33"/>
      <c r="D216" s="33"/>
      <c r="E216" s="34"/>
      <c r="F216" s="33"/>
      <c r="G216" s="16" t="str">
        <f t="shared" si="3"/>
        <v/>
      </c>
    </row>
    <row r="217" spans="1:7">
      <c r="A217" s="16"/>
      <c r="B217" s="35"/>
      <c r="C217" s="33"/>
      <c r="D217" s="33"/>
      <c r="E217" s="34"/>
      <c r="F217" s="33"/>
      <c r="G217" s="16" t="str">
        <f t="shared" si="3"/>
        <v/>
      </c>
    </row>
    <row r="218" spans="1:7">
      <c r="A218" s="16"/>
      <c r="B218" s="35"/>
      <c r="C218" s="33"/>
      <c r="D218" s="33"/>
      <c r="E218" s="34"/>
      <c r="F218" s="33"/>
      <c r="G218" s="16" t="str">
        <f t="shared" si="3"/>
        <v/>
      </c>
    </row>
    <row r="219" spans="1:7">
      <c r="A219" s="16"/>
      <c r="B219" s="35"/>
      <c r="C219" s="33"/>
      <c r="D219" s="33"/>
      <c r="E219" s="34"/>
      <c r="F219" s="33"/>
      <c r="G219" s="16" t="str">
        <f t="shared" si="3"/>
        <v/>
      </c>
    </row>
    <row r="220" spans="1:7">
      <c r="A220" s="16"/>
      <c r="B220" s="35"/>
      <c r="C220" s="33"/>
      <c r="D220" s="33"/>
      <c r="E220" s="34"/>
      <c r="F220" s="33"/>
      <c r="G220" s="16" t="str">
        <f t="shared" si="3"/>
        <v/>
      </c>
    </row>
    <row r="221" spans="1:7">
      <c r="A221" s="16"/>
      <c r="B221" s="35"/>
      <c r="C221" s="33"/>
      <c r="D221" s="33"/>
      <c r="E221" s="34"/>
      <c r="F221" s="33"/>
      <c r="G221" s="16" t="str">
        <f t="shared" si="3"/>
        <v/>
      </c>
    </row>
    <row r="222" spans="1:7">
      <c r="A222" s="16"/>
      <c r="B222" s="35"/>
      <c r="C222" s="33"/>
      <c r="D222" s="33"/>
      <c r="E222" s="34"/>
      <c r="F222" s="33"/>
      <c r="G222" s="16" t="str">
        <f t="shared" si="3"/>
        <v/>
      </c>
    </row>
    <row r="223" spans="1:7">
      <c r="A223" s="16"/>
      <c r="B223" s="35"/>
      <c r="C223" s="33"/>
      <c r="D223" s="33"/>
      <c r="E223" s="34"/>
      <c r="F223" s="33"/>
      <c r="G223" s="16" t="str">
        <f t="shared" si="3"/>
        <v/>
      </c>
    </row>
    <row r="224" spans="1:7">
      <c r="A224" s="16"/>
      <c r="B224" s="35"/>
      <c r="C224" s="33"/>
      <c r="D224" s="33"/>
      <c r="E224" s="34"/>
      <c r="F224" s="33"/>
      <c r="G224" s="16" t="str">
        <f t="shared" si="3"/>
        <v/>
      </c>
    </row>
    <row r="225" spans="1:7">
      <c r="A225" s="16"/>
      <c r="B225" s="35"/>
      <c r="C225" s="33"/>
      <c r="D225" s="33"/>
      <c r="E225" s="34"/>
      <c r="F225" s="33"/>
      <c r="G225" s="16" t="str">
        <f t="shared" si="3"/>
        <v/>
      </c>
    </row>
    <row r="226" spans="1:7">
      <c r="A226" s="16"/>
      <c r="B226" s="35"/>
      <c r="C226" s="33"/>
      <c r="D226" s="33"/>
      <c r="E226" s="34"/>
      <c r="F226" s="33"/>
      <c r="G226" s="16" t="str">
        <f t="shared" si="3"/>
        <v/>
      </c>
    </row>
    <row r="227" spans="1:7">
      <c r="A227" s="16"/>
      <c r="B227" s="35"/>
      <c r="C227" s="33"/>
      <c r="D227" s="33"/>
      <c r="E227" s="34"/>
      <c r="F227" s="33"/>
      <c r="G227" s="16" t="str">
        <f t="shared" si="3"/>
        <v/>
      </c>
    </row>
    <row r="228" spans="1:7">
      <c r="A228" s="16"/>
      <c r="B228" s="35"/>
      <c r="C228" s="33"/>
      <c r="D228" s="33"/>
      <c r="E228" s="34"/>
      <c r="F228" s="33"/>
      <c r="G228" s="16" t="str">
        <f t="shared" si="3"/>
        <v/>
      </c>
    </row>
    <row r="229" spans="1:7">
      <c r="A229" s="16"/>
      <c r="B229" s="35"/>
      <c r="C229" s="33"/>
      <c r="D229" s="33"/>
      <c r="E229" s="34"/>
      <c r="F229" s="33"/>
      <c r="G229" s="16" t="str">
        <f t="shared" si="3"/>
        <v/>
      </c>
    </row>
    <row r="230" spans="1:7">
      <c r="A230" s="16"/>
      <c r="B230" s="35"/>
      <c r="C230" s="33"/>
      <c r="D230" s="33"/>
      <c r="E230" s="34"/>
      <c r="F230" s="33"/>
      <c r="G230" s="16" t="str">
        <f t="shared" si="3"/>
        <v/>
      </c>
    </row>
    <row r="231" spans="1:7">
      <c r="A231" s="16"/>
      <c r="B231" s="35"/>
      <c r="C231" s="33"/>
      <c r="D231" s="33"/>
      <c r="E231" s="34"/>
      <c r="F231" s="33"/>
      <c r="G231" s="16" t="str">
        <f t="shared" si="3"/>
        <v/>
      </c>
    </row>
    <row r="232" spans="1:7">
      <c r="A232" s="16"/>
      <c r="B232" s="35"/>
      <c r="C232" s="33"/>
      <c r="D232" s="33"/>
      <c r="E232" s="34"/>
      <c r="F232" s="33"/>
      <c r="G232" s="16" t="str">
        <f t="shared" si="3"/>
        <v/>
      </c>
    </row>
    <row r="233" spans="1:7">
      <c r="A233" s="16"/>
      <c r="B233" s="35"/>
      <c r="C233" s="33"/>
      <c r="D233" s="33"/>
      <c r="E233" s="34"/>
      <c r="F233" s="33"/>
      <c r="G233" s="16" t="str">
        <f t="shared" si="3"/>
        <v/>
      </c>
    </row>
    <row r="234" spans="1:7">
      <c r="A234" s="16"/>
      <c r="B234" s="35"/>
      <c r="C234" s="33"/>
      <c r="D234" s="33"/>
      <c r="E234" s="34"/>
      <c r="F234" s="33"/>
      <c r="G234" s="16" t="str">
        <f t="shared" si="3"/>
        <v/>
      </c>
    </row>
    <row r="235" spans="1:7">
      <c r="A235" s="16"/>
      <c r="B235" s="35"/>
      <c r="C235" s="33"/>
      <c r="D235" s="33"/>
      <c r="E235" s="34"/>
      <c r="F235" s="33"/>
      <c r="G235" s="16" t="str">
        <f t="shared" si="3"/>
        <v/>
      </c>
    </row>
    <row r="236" spans="1:7">
      <c r="A236" s="16"/>
      <c r="B236" s="35"/>
      <c r="C236" s="33"/>
      <c r="D236" s="33"/>
      <c r="E236" s="34"/>
      <c r="F236" s="33"/>
      <c r="G236" s="16" t="str">
        <f t="shared" si="3"/>
        <v/>
      </c>
    </row>
    <row r="237" spans="1:7">
      <c r="A237" s="16"/>
      <c r="B237" s="35"/>
      <c r="C237" s="33"/>
      <c r="D237" s="33"/>
      <c r="E237" s="34"/>
      <c r="F237" s="33"/>
      <c r="G237" s="16" t="str">
        <f t="shared" si="3"/>
        <v/>
      </c>
    </row>
    <row r="238" spans="1:7">
      <c r="A238" s="16"/>
      <c r="B238" s="35"/>
      <c r="C238" s="33"/>
      <c r="D238" s="33"/>
      <c r="E238" s="34"/>
      <c r="F238" s="33"/>
      <c r="G238" s="16" t="str">
        <f t="shared" si="3"/>
        <v/>
      </c>
    </row>
    <row r="239" spans="1:7">
      <c r="A239" s="16"/>
      <c r="B239" s="35"/>
      <c r="C239" s="33"/>
      <c r="D239" s="33"/>
      <c r="E239" s="34"/>
      <c r="F239" s="33"/>
      <c r="G239" s="16" t="str">
        <f t="shared" si="3"/>
        <v/>
      </c>
    </row>
    <row r="240" spans="1:7">
      <c r="A240" s="16"/>
      <c r="B240" s="35"/>
      <c r="C240" s="33"/>
      <c r="D240" s="33"/>
      <c r="E240" s="34"/>
      <c r="F240" s="33"/>
      <c r="G240" s="16" t="str">
        <f t="shared" si="3"/>
        <v/>
      </c>
    </row>
    <row r="241" spans="1:7">
      <c r="A241" s="16"/>
      <c r="B241" s="35"/>
      <c r="C241" s="33"/>
      <c r="D241" s="33"/>
      <c r="E241" s="34"/>
      <c r="F241" s="33"/>
      <c r="G241" s="16" t="str">
        <f t="shared" si="3"/>
        <v/>
      </c>
    </row>
    <row r="242" spans="1:7">
      <c r="A242" s="16"/>
      <c r="B242" s="35"/>
      <c r="C242" s="33"/>
      <c r="D242" s="33"/>
      <c r="E242" s="34"/>
      <c r="F242" s="33"/>
      <c r="G242" s="16" t="str">
        <f t="shared" si="3"/>
        <v/>
      </c>
    </row>
    <row r="243" spans="1:7">
      <c r="A243" s="16"/>
      <c r="B243" s="35"/>
      <c r="C243" s="33"/>
      <c r="D243" s="33"/>
      <c r="E243" s="34"/>
      <c r="F243" s="33"/>
      <c r="G243" s="16" t="str">
        <f t="shared" si="3"/>
        <v/>
      </c>
    </row>
    <row r="244" spans="1:7">
      <c r="A244" s="16"/>
      <c r="B244" s="35"/>
      <c r="C244" s="33"/>
      <c r="D244" s="33"/>
      <c r="E244" s="34"/>
      <c r="F244" s="33"/>
      <c r="G244" s="16" t="str">
        <f t="shared" si="3"/>
        <v/>
      </c>
    </row>
    <row r="245" spans="1:7">
      <c r="A245" s="16"/>
      <c r="B245" s="35"/>
      <c r="C245" s="33"/>
      <c r="D245" s="33"/>
      <c r="E245" s="34"/>
      <c r="F245" s="33"/>
      <c r="G245" s="16" t="str">
        <f t="shared" si="3"/>
        <v/>
      </c>
    </row>
    <row r="246" spans="1:7">
      <c r="A246" s="16"/>
      <c r="B246" s="35"/>
      <c r="C246" s="33"/>
      <c r="D246" s="33"/>
      <c r="E246" s="34"/>
      <c r="F246" s="33"/>
      <c r="G246" s="16" t="str">
        <f t="shared" si="3"/>
        <v/>
      </c>
    </row>
    <row r="247" spans="1:7">
      <c r="A247" s="16"/>
      <c r="B247" s="35"/>
      <c r="C247" s="33"/>
      <c r="D247" s="33"/>
      <c r="E247" s="34"/>
      <c r="F247" s="33"/>
      <c r="G247" s="16" t="str">
        <f t="shared" si="3"/>
        <v/>
      </c>
    </row>
    <row r="248" spans="1:7">
      <c r="A248" s="16"/>
      <c r="B248" s="35"/>
      <c r="C248" s="33"/>
      <c r="D248" s="33"/>
      <c r="E248" s="34"/>
      <c r="F248" s="33"/>
      <c r="G248" s="16" t="str">
        <f t="shared" si="3"/>
        <v/>
      </c>
    </row>
    <row r="249" spans="1:7">
      <c r="A249" s="16"/>
      <c r="B249" s="35"/>
      <c r="C249" s="33"/>
      <c r="D249" s="33"/>
      <c r="E249" s="34"/>
      <c r="F249" s="33"/>
      <c r="G249" s="16" t="str">
        <f t="shared" si="3"/>
        <v/>
      </c>
    </row>
    <row r="250" spans="1:7">
      <c r="A250" s="16"/>
      <c r="B250" s="35"/>
      <c r="C250" s="33"/>
      <c r="D250" s="33"/>
      <c r="E250" s="34"/>
      <c r="F250" s="33"/>
      <c r="G250" s="16" t="str">
        <f t="shared" si="3"/>
        <v/>
      </c>
    </row>
    <row r="251" spans="1:7">
      <c r="A251" s="16"/>
      <c r="B251" s="35"/>
      <c r="C251" s="33"/>
      <c r="D251" s="33"/>
      <c r="E251" s="34"/>
      <c r="F251" s="33"/>
      <c r="G251" s="16" t="str">
        <f t="shared" si="3"/>
        <v/>
      </c>
    </row>
    <row r="252" spans="1:7">
      <c r="A252" s="16"/>
      <c r="B252" s="35"/>
      <c r="C252" s="33"/>
      <c r="D252" s="33"/>
      <c r="E252" s="34"/>
      <c r="F252" s="33"/>
      <c r="G252" s="16" t="str">
        <f t="shared" si="3"/>
        <v/>
      </c>
    </row>
    <row r="253" spans="1:7">
      <c r="A253" s="16"/>
      <c r="B253" s="35"/>
      <c r="C253" s="33"/>
      <c r="D253" s="33"/>
      <c r="E253" s="34"/>
      <c r="F253" s="33"/>
      <c r="G253" s="16" t="str">
        <f t="shared" si="3"/>
        <v/>
      </c>
    </row>
    <row r="254" spans="1:7">
      <c r="A254" s="16"/>
      <c r="B254" s="35"/>
      <c r="C254" s="33"/>
      <c r="D254" s="33"/>
      <c r="E254" s="34"/>
      <c r="F254" s="33"/>
      <c r="G254" s="16" t="str">
        <f t="shared" si="3"/>
        <v/>
      </c>
    </row>
    <row r="255" spans="1:7">
      <c r="A255" s="16"/>
      <c r="B255" s="35"/>
      <c r="C255" s="33"/>
      <c r="D255" s="33"/>
      <c r="E255" s="34"/>
      <c r="F255" s="33"/>
      <c r="G255" s="16" t="str">
        <f t="shared" si="3"/>
        <v/>
      </c>
    </row>
    <row r="256" spans="1:7">
      <c r="A256" s="16"/>
      <c r="B256" s="35"/>
      <c r="C256" s="33"/>
      <c r="D256" s="33"/>
      <c r="E256" s="34"/>
      <c r="F256" s="33"/>
      <c r="G256" s="16" t="str">
        <f t="shared" si="3"/>
        <v/>
      </c>
    </row>
    <row r="257" spans="1:7">
      <c r="A257" s="16"/>
      <c r="B257" s="35"/>
      <c r="C257" s="33"/>
      <c r="D257" s="33"/>
      <c r="E257" s="34"/>
      <c r="F257" s="33"/>
      <c r="G257" s="16" t="str">
        <f t="shared" si="3"/>
        <v/>
      </c>
    </row>
    <row r="258" spans="1:7">
      <c r="A258" s="16"/>
      <c r="B258" s="35"/>
      <c r="C258" s="33"/>
      <c r="D258" s="33"/>
      <c r="E258" s="34"/>
      <c r="F258" s="33"/>
      <c r="G258" s="16" t="str">
        <f t="shared" si="3"/>
        <v/>
      </c>
    </row>
    <row r="259" spans="1:7">
      <c r="A259" s="16"/>
      <c r="B259" s="35"/>
      <c r="C259" s="33"/>
      <c r="D259" s="33"/>
      <c r="E259" s="34"/>
      <c r="F259" s="33"/>
      <c r="G259" s="16" t="str">
        <f t="shared" si="3"/>
        <v/>
      </c>
    </row>
    <row r="260" spans="1:7">
      <c r="A260" s="16"/>
      <c r="B260" s="35"/>
      <c r="C260" s="33"/>
      <c r="D260" s="33"/>
      <c r="E260" s="34"/>
      <c r="F260" s="33"/>
      <c r="G260" s="16" t="str">
        <f t="shared" si="3"/>
        <v/>
      </c>
    </row>
    <row r="261" spans="1:7">
      <c r="A261" s="16"/>
      <c r="B261" s="35"/>
      <c r="C261" s="33"/>
      <c r="D261" s="33"/>
      <c r="E261" s="34"/>
      <c r="F261" s="33"/>
      <c r="G261" s="16" t="str">
        <f t="shared" si="3"/>
        <v/>
      </c>
    </row>
    <row r="262" spans="1:7">
      <c r="A262" s="16"/>
      <c r="B262" s="35"/>
      <c r="C262" s="33"/>
      <c r="D262" s="33"/>
      <c r="E262" s="34"/>
      <c r="F262" s="33"/>
      <c r="G262" s="16" t="str">
        <f t="shared" si="3"/>
        <v/>
      </c>
    </row>
    <row r="263" spans="1:7">
      <c r="A263" s="16"/>
      <c r="B263" s="35"/>
      <c r="C263" s="33"/>
      <c r="D263" s="33"/>
      <c r="E263" s="34"/>
      <c r="F263" s="33"/>
      <c r="G263" s="16" t="str">
        <f t="shared" ref="G263:G326" si="4">IF(B263="","",MONTH(B263))</f>
        <v/>
      </c>
    </row>
    <row r="264" spans="1:7">
      <c r="A264" s="16"/>
      <c r="B264" s="35"/>
      <c r="C264" s="33"/>
      <c r="D264" s="33"/>
      <c r="E264" s="34"/>
      <c r="F264" s="33"/>
      <c r="G264" s="16" t="str">
        <f t="shared" si="4"/>
        <v/>
      </c>
    </row>
    <row r="265" spans="1:7">
      <c r="A265" s="16"/>
      <c r="B265" s="35"/>
      <c r="C265" s="33"/>
      <c r="D265" s="33"/>
      <c r="E265" s="34"/>
      <c r="F265" s="33"/>
      <c r="G265" s="16" t="str">
        <f t="shared" si="4"/>
        <v/>
      </c>
    </row>
    <row r="266" spans="1:7">
      <c r="A266" s="16"/>
      <c r="B266" s="35"/>
      <c r="C266" s="33"/>
      <c r="D266" s="33"/>
      <c r="E266" s="34"/>
      <c r="F266" s="33"/>
      <c r="G266" s="16" t="str">
        <f t="shared" si="4"/>
        <v/>
      </c>
    </row>
    <row r="267" spans="1:7">
      <c r="A267" s="16"/>
      <c r="B267" s="35"/>
      <c r="C267" s="33"/>
      <c r="D267" s="33"/>
      <c r="E267" s="34"/>
      <c r="F267" s="33"/>
      <c r="G267" s="16" t="str">
        <f t="shared" si="4"/>
        <v/>
      </c>
    </row>
    <row r="268" spans="1:7">
      <c r="A268" s="16"/>
      <c r="B268" s="35"/>
      <c r="C268" s="33"/>
      <c r="D268" s="33"/>
      <c r="E268" s="34"/>
      <c r="F268" s="33"/>
      <c r="G268" s="16" t="str">
        <f t="shared" si="4"/>
        <v/>
      </c>
    </row>
    <row r="269" spans="1:7">
      <c r="A269" s="16"/>
      <c r="B269" s="35"/>
      <c r="C269" s="33"/>
      <c r="D269" s="33"/>
      <c r="E269" s="34"/>
      <c r="F269" s="33"/>
      <c r="G269" s="16" t="str">
        <f t="shared" si="4"/>
        <v/>
      </c>
    </row>
    <row r="270" spans="1:7">
      <c r="A270" s="16"/>
      <c r="B270" s="35"/>
      <c r="C270" s="33"/>
      <c r="D270" s="33"/>
      <c r="E270" s="34"/>
      <c r="F270" s="33"/>
      <c r="G270" s="16" t="str">
        <f t="shared" si="4"/>
        <v/>
      </c>
    </row>
    <row r="271" spans="1:7">
      <c r="A271" s="16"/>
      <c r="B271" s="35"/>
      <c r="C271" s="33"/>
      <c r="D271" s="33"/>
      <c r="E271" s="34"/>
      <c r="F271" s="33"/>
      <c r="G271" s="16" t="str">
        <f t="shared" si="4"/>
        <v/>
      </c>
    </row>
    <row r="272" spans="1:7">
      <c r="A272" s="16"/>
      <c r="B272" s="35"/>
      <c r="C272" s="33"/>
      <c r="D272" s="33"/>
      <c r="E272" s="34"/>
      <c r="F272" s="33"/>
      <c r="G272" s="16" t="str">
        <f t="shared" si="4"/>
        <v/>
      </c>
    </row>
    <row r="273" spans="1:7">
      <c r="A273" s="16"/>
      <c r="B273" s="35"/>
      <c r="C273" s="33"/>
      <c r="D273" s="33"/>
      <c r="E273" s="34"/>
      <c r="F273" s="33"/>
      <c r="G273" s="16" t="str">
        <f t="shared" si="4"/>
        <v/>
      </c>
    </row>
    <row r="274" spans="1:7">
      <c r="A274" s="16"/>
      <c r="B274" s="35"/>
      <c r="C274" s="33"/>
      <c r="D274" s="33"/>
      <c r="E274" s="34"/>
      <c r="F274" s="33"/>
      <c r="G274" s="16" t="str">
        <f t="shared" si="4"/>
        <v/>
      </c>
    </row>
    <row r="275" spans="1:7">
      <c r="A275" s="16"/>
      <c r="B275" s="35"/>
      <c r="C275" s="33"/>
      <c r="D275" s="33"/>
      <c r="E275" s="34"/>
      <c r="F275" s="33"/>
      <c r="G275" s="16" t="str">
        <f t="shared" si="4"/>
        <v/>
      </c>
    </row>
    <row r="276" spans="1:7">
      <c r="A276" s="16"/>
      <c r="B276" s="35"/>
      <c r="C276" s="33"/>
      <c r="D276" s="33"/>
      <c r="E276" s="34"/>
      <c r="F276" s="33"/>
      <c r="G276" s="16" t="str">
        <f t="shared" si="4"/>
        <v/>
      </c>
    </row>
    <row r="277" spans="1:7">
      <c r="A277" s="16"/>
      <c r="B277" s="35"/>
      <c r="C277" s="33"/>
      <c r="D277" s="33"/>
      <c r="E277" s="34"/>
      <c r="F277" s="33"/>
      <c r="G277" s="16" t="str">
        <f t="shared" si="4"/>
        <v/>
      </c>
    </row>
    <row r="278" spans="1:7">
      <c r="A278" s="16"/>
      <c r="B278" s="35"/>
      <c r="C278" s="33"/>
      <c r="D278" s="33"/>
      <c r="E278" s="34"/>
      <c r="F278" s="33"/>
      <c r="G278" s="16" t="str">
        <f t="shared" si="4"/>
        <v/>
      </c>
    </row>
    <row r="279" spans="1:7">
      <c r="A279" s="16"/>
      <c r="B279" s="35"/>
      <c r="C279" s="33"/>
      <c r="D279" s="33"/>
      <c r="E279" s="34"/>
      <c r="F279" s="33"/>
      <c r="G279" s="16" t="str">
        <f t="shared" si="4"/>
        <v/>
      </c>
    </row>
    <row r="280" spans="1:7">
      <c r="A280" s="16"/>
      <c r="B280" s="35"/>
      <c r="C280" s="33"/>
      <c r="D280" s="33"/>
      <c r="E280" s="34"/>
      <c r="F280" s="33"/>
      <c r="G280" s="16" t="str">
        <f t="shared" si="4"/>
        <v/>
      </c>
    </row>
    <row r="281" spans="1:7">
      <c r="A281" s="16"/>
      <c r="B281" s="35"/>
      <c r="C281" s="33"/>
      <c r="D281" s="33"/>
      <c r="E281" s="34"/>
      <c r="F281" s="33"/>
      <c r="G281" s="16" t="str">
        <f t="shared" si="4"/>
        <v/>
      </c>
    </row>
    <row r="282" spans="1:7">
      <c r="A282" s="16"/>
      <c r="B282" s="35"/>
      <c r="C282" s="33"/>
      <c r="D282" s="33"/>
      <c r="E282" s="34"/>
      <c r="F282" s="33"/>
      <c r="G282" s="16" t="str">
        <f t="shared" si="4"/>
        <v/>
      </c>
    </row>
    <row r="283" spans="1:7">
      <c r="A283" s="16"/>
      <c r="B283" s="35"/>
      <c r="C283" s="33"/>
      <c r="D283" s="33"/>
      <c r="E283" s="34"/>
      <c r="F283" s="33"/>
      <c r="G283" s="16" t="str">
        <f t="shared" si="4"/>
        <v/>
      </c>
    </row>
    <row r="284" spans="1:7">
      <c r="A284" s="16"/>
      <c r="B284" s="35"/>
      <c r="C284" s="33"/>
      <c r="D284" s="33"/>
      <c r="E284" s="34"/>
      <c r="F284" s="33"/>
      <c r="G284" s="16" t="str">
        <f t="shared" si="4"/>
        <v/>
      </c>
    </row>
    <row r="285" spans="1:7">
      <c r="A285" s="16"/>
      <c r="B285" s="35"/>
      <c r="C285" s="33"/>
      <c r="D285" s="33"/>
      <c r="E285" s="34"/>
      <c r="F285" s="33"/>
      <c r="G285" s="16" t="str">
        <f t="shared" si="4"/>
        <v/>
      </c>
    </row>
    <row r="286" spans="1:7">
      <c r="A286" s="16"/>
      <c r="B286" s="35"/>
      <c r="C286" s="33"/>
      <c r="D286" s="33"/>
      <c r="E286" s="34"/>
      <c r="F286" s="33"/>
      <c r="G286" s="16" t="str">
        <f t="shared" si="4"/>
        <v/>
      </c>
    </row>
    <row r="287" spans="1:7">
      <c r="A287" s="16"/>
      <c r="B287" s="35"/>
      <c r="C287" s="33"/>
      <c r="D287" s="33"/>
      <c r="E287" s="34"/>
      <c r="F287" s="33"/>
      <c r="G287" s="16" t="str">
        <f t="shared" si="4"/>
        <v/>
      </c>
    </row>
    <row r="288" spans="1:7">
      <c r="A288" s="16"/>
      <c r="B288" s="35"/>
      <c r="C288" s="33"/>
      <c r="D288" s="33"/>
      <c r="E288" s="34"/>
      <c r="F288" s="33"/>
      <c r="G288" s="16" t="str">
        <f t="shared" si="4"/>
        <v/>
      </c>
    </row>
    <row r="289" spans="1:7">
      <c r="A289" s="16"/>
      <c r="B289" s="35"/>
      <c r="C289" s="33"/>
      <c r="D289" s="33"/>
      <c r="E289" s="34"/>
      <c r="F289" s="33"/>
      <c r="G289" s="16" t="str">
        <f t="shared" si="4"/>
        <v/>
      </c>
    </row>
    <row r="290" spans="1:7">
      <c r="A290" s="16"/>
      <c r="B290" s="35"/>
      <c r="C290" s="33"/>
      <c r="D290" s="33"/>
      <c r="E290" s="34"/>
      <c r="F290" s="33"/>
      <c r="G290" s="16" t="str">
        <f t="shared" si="4"/>
        <v/>
      </c>
    </row>
    <row r="291" spans="1:7">
      <c r="A291" s="16"/>
      <c r="B291" s="35"/>
      <c r="C291" s="33"/>
      <c r="D291" s="33"/>
      <c r="E291" s="34"/>
      <c r="F291" s="33"/>
      <c r="G291" s="16" t="str">
        <f t="shared" si="4"/>
        <v/>
      </c>
    </row>
    <row r="292" spans="1:7">
      <c r="A292" s="16"/>
      <c r="B292" s="35"/>
      <c r="C292" s="33"/>
      <c r="D292" s="33"/>
      <c r="E292" s="34"/>
      <c r="F292" s="33"/>
      <c r="G292" s="16" t="str">
        <f t="shared" si="4"/>
        <v/>
      </c>
    </row>
    <row r="293" spans="1:7">
      <c r="A293" s="16"/>
      <c r="B293" s="35"/>
      <c r="C293" s="33"/>
      <c r="D293" s="33"/>
      <c r="E293" s="34"/>
      <c r="F293" s="33"/>
      <c r="G293" s="16" t="str">
        <f t="shared" si="4"/>
        <v/>
      </c>
    </row>
    <row r="294" spans="1:7">
      <c r="A294" s="16"/>
      <c r="B294" s="35"/>
      <c r="C294" s="33"/>
      <c r="D294" s="33"/>
      <c r="E294" s="34"/>
      <c r="F294" s="33"/>
      <c r="G294" s="16" t="str">
        <f t="shared" si="4"/>
        <v/>
      </c>
    </row>
    <row r="295" spans="1:7">
      <c r="A295" s="16"/>
      <c r="B295" s="35"/>
      <c r="C295" s="33"/>
      <c r="D295" s="33"/>
      <c r="E295" s="34"/>
      <c r="F295" s="33"/>
      <c r="G295" s="16" t="str">
        <f t="shared" si="4"/>
        <v/>
      </c>
    </row>
    <row r="296" spans="1:7">
      <c r="A296" s="16"/>
      <c r="B296" s="35"/>
      <c r="C296" s="33"/>
      <c r="D296" s="33"/>
      <c r="E296" s="34"/>
      <c r="F296" s="33"/>
      <c r="G296" s="16" t="str">
        <f t="shared" si="4"/>
        <v/>
      </c>
    </row>
    <row r="297" spans="1:7">
      <c r="A297" s="16"/>
      <c r="B297" s="35"/>
      <c r="C297" s="33"/>
      <c r="D297" s="33"/>
      <c r="E297" s="34"/>
      <c r="F297" s="33"/>
      <c r="G297" s="16" t="str">
        <f t="shared" si="4"/>
        <v/>
      </c>
    </row>
    <row r="298" spans="1:7">
      <c r="A298" s="16"/>
      <c r="B298" s="35"/>
      <c r="C298" s="33"/>
      <c r="D298" s="33"/>
      <c r="E298" s="34"/>
      <c r="F298" s="33"/>
      <c r="G298" s="16" t="str">
        <f t="shared" si="4"/>
        <v/>
      </c>
    </row>
    <row r="299" spans="1:7">
      <c r="A299" s="16"/>
      <c r="B299" s="35"/>
      <c r="C299" s="33"/>
      <c r="D299" s="33"/>
      <c r="E299" s="34"/>
      <c r="F299" s="33"/>
      <c r="G299" s="16" t="str">
        <f t="shared" si="4"/>
        <v/>
      </c>
    </row>
    <row r="300" spans="1:7">
      <c r="A300" s="16"/>
      <c r="B300" s="35"/>
      <c r="C300" s="33"/>
      <c r="D300" s="33"/>
      <c r="E300" s="34"/>
      <c r="F300" s="33"/>
      <c r="G300" s="16" t="str">
        <f t="shared" si="4"/>
        <v/>
      </c>
    </row>
    <row r="301" spans="1:7">
      <c r="A301" s="16"/>
      <c r="B301" s="35"/>
      <c r="C301" s="33"/>
      <c r="D301" s="33"/>
      <c r="E301" s="34"/>
      <c r="F301" s="33"/>
      <c r="G301" s="16" t="str">
        <f t="shared" si="4"/>
        <v/>
      </c>
    </row>
    <row r="302" spans="1:7">
      <c r="A302" s="16"/>
      <c r="B302" s="35"/>
      <c r="C302" s="33"/>
      <c r="D302" s="33"/>
      <c r="E302" s="34"/>
      <c r="F302" s="33"/>
      <c r="G302" s="16" t="str">
        <f t="shared" si="4"/>
        <v/>
      </c>
    </row>
    <row r="303" spans="1:7">
      <c r="A303" s="16"/>
      <c r="B303" s="35"/>
      <c r="C303" s="33"/>
      <c r="D303" s="33"/>
      <c r="E303" s="34"/>
      <c r="F303" s="33"/>
      <c r="G303" s="16" t="str">
        <f t="shared" si="4"/>
        <v/>
      </c>
    </row>
    <row r="304" spans="1:7">
      <c r="A304" s="16"/>
      <c r="B304" s="35"/>
      <c r="C304" s="33"/>
      <c r="D304" s="33"/>
      <c r="E304" s="34"/>
      <c r="F304" s="33"/>
      <c r="G304" s="16" t="str">
        <f t="shared" si="4"/>
        <v/>
      </c>
    </row>
    <row r="305" spans="1:7">
      <c r="A305" s="16"/>
      <c r="B305" s="35"/>
      <c r="C305" s="33"/>
      <c r="D305" s="33"/>
      <c r="E305" s="34"/>
      <c r="F305" s="33"/>
      <c r="G305" s="16" t="str">
        <f t="shared" si="4"/>
        <v/>
      </c>
    </row>
    <row r="306" spans="1:7">
      <c r="A306" s="16"/>
      <c r="B306" s="35"/>
      <c r="C306" s="33"/>
      <c r="D306" s="33"/>
      <c r="E306" s="34"/>
      <c r="F306" s="33"/>
      <c r="G306" s="16" t="str">
        <f t="shared" si="4"/>
        <v/>
      </c>
    </row>
    <row r="307" spans="1:7">
      <c r="A307" s="16"/>
      <c r="B307" s="35"/>
      <c r="C307" s="33"/>
      <c r="D307" s="33"/>
      <c r="E307" s="34"/>
      <c r="F307" s="33"/>
      <c r="G307" s="16" t="str">
        <f t="shared" si="4"/>
        <v/>
      </c>
    </row>
    <row r="308" spans="1:7">
      <c r="A308" s="16"/>
      <c r="B308" s="35"/>
      <c r="C308" s="33"/>
      <c r="D308" s="33"/>
      <c r="E308" s="34"/>
      <c r="F308" s="33"/>
      <c r="G308" s="16" t="str">
        <f t="shared" si="4"/>
        <v/>
      </c>
    </row>
    <row r="309" spans="1:7">
      <c r="A309" s="16"/>
      <c r="B309" s="35"/>
      <c r="C309" s="33"/>
      <c r="D309" s="33"/>
      <c r="E309" s="34"/>
      <c r="F309" s="33"/>
      <c r="G309" s="16" t="str">
        <f t="shared" si="4"/>
        <v/>
      </c>
    </row>
    <row r="310" spans="1:7">
      <c r="A310" s="16"/>
      <c r="B310" s="35"/>
      <c r="C310" s="33"/>
      <c r="D310" s="33"/>
      <c r="E310" s="34"/>
      <c r="F310" s="33"/>
      <c r="G310" s="16" t="str">
        <f t="shared" si="4"/>
        <v/>
      </c>
    </row>
    <row r="311" spans="1:7">
      <c r="A311" s="16"/>
      <c r="B311" s="35"/>
      <c r="C311" s="33"/>
      <c r="D311" s="33"/>
      <c r="E311" s="34"/>
      <c r="F311" s="33"/>
      <c r="G311" s="16" t="str">
        <f t="shared" si="4"/>
        <v/>
      </c>
    </row>
    <row r="312" spans="1:7">
      <c r="A312" s="16"/>
      <c r="B312" s="35"/>
      <c r="C312" s="33"/>
      <c r="D312" s="33"/>
      <c r="E312" s="34"/>
      <c r="F312" s="33"/>
      <c r="G312" s="16" t="str">
        <f t="shared" si="4"/>
        <v/>
      </c>
    </row>
    <row r="313" spans="1:7">
      <c r="A313" s="16"/>
      <c r="B313" s="35"/>
      <c r="C313" s="33"/>
      <c r="D313" s="33"/>
      <c r="E313" s="34"/>
      <c r="F313" s="33"/>
      <c r="G313" s="16" t="str">
        <f t="shared" si="4"/>
        <v/>
      </c>
    </row>
    <row r="314" spans="1:7">
      <c r="A314" s="16"/>
      <c r="B314" s="35"/>
      <c r="C314" s="33"/>
      <c r="D314" s="33"/>
      <c r="E314" s="34"/>
      <c r="F314" s="33"/>
      <c r="G314" s="16" t="str">
        <f t="shared" si="4"/>
        <v/>
      </c>
    </row>
    <row r="315" spans="1:7">
      <c r="A315" s="16"/>
      <c r="B315" s="35"/>
      <c r="C315" s="33"/>
      <c r="D315" s="33"/>
      <c r="E315" s="34"/>
      <c r="F315" s="33"/>
      <c r="G315" s="16" t="str">
        <f t="shared" si="4"/>
        <v/>
      </c>
    </row>
    <row r="316" spans="1:7">
      <c r="A316" s="16"/>
      <c r="B316" s="35"/>
      <c r="C316" s="33"/>
      <c r="D316" s="33"/>
      <c r="E316" s="34"/>
      <c r="F316" s="33"/>
      <c r="G316" s="16" t="str">
        <f t="shared" si="4"/>
        <v/>
      </c>
    </row>
    <row r="317" spans="1:7">
      <c r="A317" s="16"/>
      <c r="B317" s="35"/>
      <c r="C317" s="33"/>
      <c r="D317" s="33"/>
      <c r="E317" s="34"/>
      <c r="F317" s="33"/>
      <c r="G317" s="16" t="str">
        <f t="shared" si="4"/>
        <v/>
      </c>
    </row>
    <row r="318" spans="1:7">
      <c r="A318" s="16"/>
      <c r="B318" s="35"/>
      <c r="C318" s="33"/>
      <c r="D318" s="33"/>
      <c r="E318" s="34"/>
      <c r="F318" s="33"/>
      <c r="G318" s="16" t="str">
        <f t="shared" si="4"/>
        <v/>
      </c>
    </row>
    <row r="319" spans="1:7">
      <c r="A319" s="16"/>
      <c r="B319" s="35"/>
      <c r="C319" s="33"/>
      <c r="D319" s="33"/>
      <c r="E319" s="34"/>
      <c r="F319" s="33"/>
      <c r="G319" s="16" t="str">
        <f t="shared" si="4"/>
        <v/>
      </c>
    </row>
    <row r="320" spans="1:7">
      <c r="A320" s="16"/>
      <c r="B320" s="35"/>
      <c r="C320" s="33"/>
      <c r="D320" s="33"/>
      <c r="E320" s="34"/>
      <c r="F320" s="33"/>
      <c r="G320" s="16" t="str">
        <f t="shared" si="4"/>
        <v/>
      </c>
    </row>
    <row r="321" spans="1:7">
      <c r="A321" s="16"/>
      <c r="B321" s="35"/>
      <c r="C321" s="33"/>
      <c r="D321" s="33"/>
      <c r="E321" s="34"/>
      <c r="F321" s="33"/>
      <c r="G321" s="16" t="str">
        <f t="shared" si="4"/>
        <v/>
      </c>
    </row>
    <row r="322" spans="1:7">
      <c r="A322" s="16"/>
      <c r="B322" s="35"/>
      <c r="C322" s="33"/>
      <c r="D322" s="33"/>
      <c r="E322" s="34"/>
      <c r="F322" s="33"/>
      <c r="G322" s="16" t="str">
        <f t="shared" si="4"/>
        <v/>
      </c>
    </row>
    <row r="323" spans="1:7">
      <c r="A323" s="16"/>
      <c r="B323" s="35"/>
      <c r="C323" s="33"/>
      <c r="D323" s="33"/>
      <c r="E323" s="34"/>
      <c r="F323" s="33"/>
      <c r="G323" s="16" t="str">
        <f t="shared" si="4"/>
        <v/>
      </c>
    </row>
    <row r="324" spans="1:7">
      <c r="A324" s="16"/>
      <c r="B324" s="35"/>
      <c r="C324" s="33"/>
      <c r="D324" s="33"/>
      <c r="E324" s="34"/>
      <c r="F324" s="33"/>
      <c r="G324" s="16" t="str">
        <f t="shared" si="4"/>
        <v/>
      </c>
    </row>
    <row r="325" spans="1:7">
      <c r="A325" s="16"/>
      <c r="B325" s="35"/>
      <c r="C325" s="33"/>
      <c r="D325" s="33"/>
      <c r="E325" s="34"/>
      <c r="F325" s="33"/>
      <c r="G325" s="16" t="str">
        <f t="shared" si="4"/>
        <v/>
      </c>
    </row>
    <row r="326" spans="1:7">
      <c r="A326" s="16"/>
      <c r="B326" s="35"/>
      <c r="C326" s="33"/>
      <c r="D326" s="33"/>
      <c r="E326" s="34"/>
      <c r="F326" s="33"/>
      <c r="G326" s="16" t="str">
        <f t="shared" si="4"/>
        <v/>
      </c>
    </row>
    <row r="327" spans="1:7">
      <c r="A327" s="16"/>
      <c r="B327" s="35"/>
      <c r="C327" s="33"/>
      <c r="D327" s="33"/>
      <c r="E327" s="34"/>
      <c r="F327" s="33"/>
      <c r="G327" s="16" t="str">
        <f t="shared" ref="G327:G390" si="5">IF(B327="","",MONTH(B327))</f>
        <v/>
      </c>
    </row>
    <row r="328" spans="1:7">
      <c r="A328" s="16"/>
      <c r="B328" s="35"/>
      <c r="C328" s="33"/>
      <c r="D328" s="33"/>
      <c r="E328" s="34"/>
      <c r="F328" s="33"/>
      <c r="G328" s="16" t="str">
        <f t="shared" si="5"/>
        <v/>
      </c>
    </row>
    <row r="329" spans="1:7">
      <c r="A329" s="16"/>
      <c r="B329" s="35"/>
      <c r="C329" s="33"/>
      <c r="D329" s="33"/>
      <c r="E329" s="34"/>
      <c r="F329" s="33"/>
      <c r="G329" s="16" t="str">
        <f t="shared" si="5"/>
        <v/>
      </c>
    </row>
    <row r="330" spans="1:7">
      <c r="A330" s="16"/>
      <c r="B330" s="35"/>
      <c r="C330" s="33"/>
      <c r="D330" s="33"/>
      <c r="E330" s="34"/>
      <c r="F330" s="33"/>
      <c r="G330" s="16" t="str">
        <f t="shared" si="5"/>
        <v/>
      </c>
    </row>
    <row r="331" spans="1:7">
      <c r="A331" s="16"/>
      <c r="B331" s="35"/>
      <c r="C331" s="33"/>
      <c r="D331" s="33"/>
      <c r="E331" s="34"/>
      <c r="F331" s="33"/>
      <c r="G331" s="16" t="str">
        <f t="shared" si="5"/>
        <v/>
      </c>
    </row>
    <row r="332" spans="1:7">
      <c r="A332" s="16"/>
      <c r="B332" s="35"/>
      <c r="C332" s="33"/>
      <c r="D332" s="33"/>
      <c r="E332" s="34"/>
      <c r="F332" s="33"/>
      <c r="G332" s="16" t="str">
        <f t="shared" si="5"/>
        <v/>
      </c>
    </row>
    <row r="333" spans="1:7">
      <c r="A333" s="16"/>
      <c r="B333" s="35"/>
      <c r="C333" s="33"/>
      <c r="D333" s="33"/>
      <c r="E333" s="34"/>
      <c r="F333" s="33"/>
      <c r="G333" s="16" t="str">
        <f t="shared" si="5"/>
        <v/>
      </c>
    </row>
    <row r="334" spans="1:7">
      <c r="A334" s="16"/>
      <c r="B334" s="35"/>
      <c r="C334" s="33"/>
      <c r="D334" s="33"/>
      <c r="E334" s="34"/>
      <c r="F334" s="33"/>
      <c r="G334" s="16" t="str">
        <f t="shared" si="5"/>
        <v/>
      </c>
    </row>
    <row r="335" spans="1:7">
      <c r="A335" s="16"/>
      <c r="B335" s="35"/>
      <c r="C335" s="33"/>
      <c r="D335" s="33"/>
      <c r="E335" s="34"/>
      <c r="F335" s="33"/>
      <c r="G335" s="16" t="str">
        <f t="shared" si="5"/>
        <v/>
      </c>
    </row>
    <row r="336" spans="1:7">
      <c r="A336" s="16"/>
      <c r="B336" s="35"/>
      <c r="C336" s="33"/>
      <c r="D336" s="33"/>
      <c r="E336" s="34"/>
      <c r="F336" s="33"/>
      <c r="G336" s="16" t="str">
        <f t="shared" si="5"/>
        <v/>
      </c>
    </row>
    <row r="337" spans="1:7">
      <c r="A337" s="16"/>
      <c r="B337" s="35"/>
      <c r="C337" s="33"/>
      <c r="D337" s="33"/>
      <c r="E337" s="34"/>
      <c r="F337" s="33"/>
      <c r="G337" s="16" t="str">
        <f t="shared" si="5"/>
        <v/>
      </c>
    </row>
    <row r="338" spans="1:7">
      <c r="A338" s="16"/>
      <c r="B338" s="35"/>
      <c r="C338" s="33"/>
      <c r="D338" s="33"/>
      <c r="E338" s="34"/>
      <c r="F338" s="33"/>
      <c r="G338" s="16" t="str">
        <f t="shared" si="5"/>
        <v/>
      </c>
    </row>
    <row r="339" spans="1:7">
      <c r="A339" s="16"/>
      <c r="B339" s="35"/>
      <c r="C339" s="33"/>
      <c r="D339" s="33"/>
      <c r="E339" s="34"/>
      <c r="F339" s="33"/>
      <c r="G339" s="16" t="str">
        <f t="shared" si="5"/>
        <v/>
      </c>
    </row>
    <row r="340" spans="1:7">
      <c r="A340" s="16"/>
      <c r="B340" s="35"/>
      <c r="C340" s="33"/>
      <c r="D340" s="33"/>
      <c r="E340" s="34"/>
      <c r="F340" s="33"/>
      <c r="G340" s="16" t="str">
        <f t="shared" si="5"/>
        <v/>
      </c>
    </row>
    <row r="341" spans="1:7">
      <c r="A341" s="16"/>
      <c r="B341" s="35"/>
      <c r="C341" s="33"/>
      <c r="D341" s="33"/>
      <c r="E341" s="34"/>
      <c r="F341" s="33"/>
      <c r="G341" s="16" t="str">
        <f t="shared" si="5"/>
        <v/>
      </c>
    </row>
    <row r="342" spans="1:7">
      <c r="A342" s="16"/>
      <c r="B342" s="35"/>
      <c r="C342" s="33"/>
      <c r="D342" s="33"/>
      <c r="E342" s="34"/>
      <c r="F342" s="33"/>
      <c r="G342" s="16" t="str">
        <f t="shared" si="5"/>
        <v/>
      </c>
    </row>
    <row r="343" spans="1:7">
      <c r="A343" s="16"/>
      <c r="B343" s="35"/>
      <c r="C343" s="33"/>
      <c r="D343" s="33"/>
      <c r="E343" s="34"/>
      <c r="F343" s="33"/>
      <c r="G343" s="16" t="str">
        <f t="shared" si="5"/>
        <v/>
      </c>
    </row>
    <row r="344" spans="1:7">
      <c r="A344" s="16"/>
      <c r="B344" s="35"/>
      <c r="C344" s="33"/>
      <c r="D344" s="33"/>
      <c r="E344" s="34"/>
      <c r="F344" s="33"/>
      <c r="G344" s="16" t="str">
        <f t="shared" si="5"/>
        <v/>
      </c>
    </row>
    <row r="345" spans="1:7">
      <c r="A345" s="16"/>
      <c r="B345" s="35"/>
      <c r="C345" s="33"/>
      <c r="D345" s="33"/>
      <c r="E345" s="34"/>
      <c r="F345" s="33"/>
      <c r="G345" s="16" t="str">
        <f t="shared" si="5"/>
        <v/>
      </c>
    </row>
    <row r="346" spans="1:7">
      <c r="A346" s="16"/>
      <c r="B346" s="35"/>
      <c r="C346" s="33"/>
      <c r="D346" s="33"/>
      <c r="E346" s="34"/>
      <c r="F346" s="33"/>
      <c r="G346" s="16" t="str">
        <f t="shared" si="5"/>
        <v/>
      </c>
    </row>
    <row r="347" spans="1:7">
      <c r="A347" s="16"/>
      <c r="B347" s="35"/>
      <c r="C347" s="33"/>
      <c r="D347" s="33"/>
      <c r="E347" s="34"/>
      <c r="F347" s="33"/>
      <c r="G347" s="16" t="str">
        <f t="shared" si="5"/>
        <v/>
      </c>
    </row>
    <row r="348" spans="1:7">
      <c r="A348" s="16"/>
      <c r="B348" s="35"/>
      <c r="C348" s="33"/>
      <c r="D348" s="33"/>
      <c r="E348" s="34"/>
      <c r="F348" s="33"/>
      <c r="G348" s="16" t="str">
        <f t="shared" si="5"/>
        <v/>
      </c>
    </row>
    <row r="349" spans="1:7">
      <c r="A349" s="16"/>
      <c r="B349" s="35"/>
      <c r="C349" s="33"/>
      <c r="D349" s="33"/>
      <c r="E349" s="34"/>
      <c r="F349" s="33"/>
      <c r="G349" s="16" t="str">
        <f t="shared" si="5"/>
        <v/>
      </c>
    </row>
    <row r="350" spans="1:7">
      <c r="A350" s="16"/>
      <c r="B350" s="35"/>
      <c r="C350" s="33"/>
      <c r="D350" s="33"/>
      <c r="E350" s="34"/>
      <c r="F350" s="33"/>
      <c r="G350" s="16" t="str">
        <f t="shared" si="5"/>
        <v/>
      </c>
    </row>
    <row r="351" spans="1:7">
      <c r="A351" s="16"/>
      <c r="B351" s="35"/>
      <c r="C351" s="33"/>
      <c r="D351" s="33"/>
      <c r="E351" s="34"/>
      <c r="F351" s="33"/>
      <c r="G351" s="16" t="str">
        <f t="shared" si="5"/>
        <v/>
      </c>
    </row>
    <row r="352" spans="1:7">
      <c r="A352" s="16"/>
      <c r="B352" s="35"/>
      <c r="C352" s="33"/>
      <c r="D352" s="33"/>
      <c r="E352" s="34"/>
      <c r="F352" s="33"/>
      <c r="G352" s="16" t="str">
        <f t="shared" si="5"/>
        <v/>
      </c>
    </row>
    <row r="353" spans="1:7">
      <c r="A353" s="16"/>
      <c r="B353" s="35"/>
      <c r="C353" s="33"/>
      <c r="D353" s="33"/>
      <c r="E353" s="34"/>
      <c r="F353" s="33"/>
      <c r="G353" s="16" t="str">
        <f t="shared" si="5"/>
        <v/>
      </c>
    </row>
    <row r="354" spans="1:7">
      <c r="A354" s="16"/>
      <c r="B354" s="35"/>
      <c r="C354" s="33"/>
      <c r="D354" s="33"/>
      <c r="E354" s="34"/>
      <c r="F354" s="33"/>
      <c r="G354" s="16" t="str">
        <f t="shared" si="5"/>
        <v/>
      </c>
    </row>
    <row r="355" spans="1:7">
      <c r="A355" s="16"/>
      <c r="B355" s="35"/>
      <c r="C355" s="33"/>
      <c r="D355" s="33"/>
      <c r="E355" s="34"/>
      <c r="F355" s="33"/>
      <c r="G355" s="16" t="str">
        <f t="shared" si="5"/>
        <v/>
      </c>
    </row>
    <row r="356" spans="1:7">
      <c r="A356" s="16"/>
      <c r="B356" s="35"/>
      <c r="C356" s="33"/>
      <c r="D356" s="33"/>
      <c r="E356" s="34"/>
      <c r="F356" s="33"/>
      <c r="G356" s="16" t="str">
        <f t="shared" si="5"/>
        <v/>
      </c>
    </row>
    <row r="357" spans="1:7">
      <c r="A357" s="16"/>
      <c r="B357" s="35"/>
      <c r="C357" s="33"/>
      <c r="D357" s="33"/>
      <c r="E357" s="34"/>
      <c r="F357" s="33"/>
      <c r="G357" s="16" t="str">
        <f t="shared" si="5"/>
        <v/>
      </c>
    </row>
    <row r="358" spans="1:7">
      <c r="A358" s="16"/>
      <c r="B358" s="35"/>
      <c r="C358" s="33"/>
      <c r="D358" s="33"/>
      <c r="E358" s="34"/>
      <c r="F358" s="33"/>
      <c r="G358" s="16" t="str">
        <f t="shared" si="5"/>
        <v/>
      </c>
    </row>
    <row r="359" spans="1:7">
      <c r="A359" s="16"/>
      <c r="B359" s="35"/>
      <c r="C359" s="33"/>
      <c r="D359" s="33"/>
      <c r="E359" s="34"/>
      <c r="F359" s="33"/>
      <c r="G359" s="16" t="str">
        <f t="shared" si="5"/>
        <v/>
      </c>
    </row>
    <row r="360" spans="1:7">
      <c r="A360" s="16"/>
      <c r="B360" s="35"/>
      <c r="C360" s="33"/>
      <c r="D360" s="33"/>
      <c r="E360" s="34"/>
      <c r="F360" s="33"/>
      <c r="G360" s="16" t="str">
        <f t="shared" si="5"/>
        <v/>
      </c>
    </row>
    <row r="361" spans="1:7">
      <c r="A361" s="16"/>
      <c r="B361" s="35"/>
      <c r="C361" s="33"/>
      <c r="D361" s="33"/>
      <c r="E361" s="34"/>
      <c r="F361" s="33"/>
      <c r="G361" s="16" t="str">
        <f t="shared" si="5"/>
        <v/>
      </c>
    </row>
    <row r="362" spans="1:7">
      <c r="A362" s="16"/>
      <c r="B362" s="35"/>
      <c r="C362" s="33"/>
      <c r="D362" s="33"/>
      <c r="E362" s="34"/>
      <c r="F362" s="33"/>
      <c r="G362" s="16" t="str">
        <f t="shared" si="5"/>
        <v/>
      </c>
    </row>
    <row r="363" spans="1:7">
      <c r="A363" s="16"/>
      <c r="B363" s="35"/>
      <c r="C363" s="33"/>
      <c r="D363" s="33"/>
      <c r="E363" s="34"/>
      <c r="F363" s="33"/>
      <c r="G363" s="16" t="str">
        <f t="shared" si="5"/>
        <v/>
      </c>
    </row>
    <row r="364" spans="1:7">
      <c r="A364" s="16"/>
      <c r="B364" s="35"/>
      <c r="C364" s="33"/>
      <c r="D364" s="33"/>
      <c r="E364" s="34"/>
      <c r="F364" s="33"/>
      <c r="G364" s="16" t="str">
        <f t="shared" si="5"/>
        <v/>
      </c>
    </row>
    <row r="365" spans="1:7">
      <c r="A365" s="16"/>
      <c r="B365" s="35"/>
      <c r="C365" s="33"/>
      <c r="D365" s="33"/>
      <c r="E365" s="34"/>
      <c r="F365" s="33"/>
      <c r="G365" s="16" t="str">
        <f t="shared" si="5"/>
        <v/>
      </c>
    </row>
    <row r="366" spans="1:7">
      <c r="A366" s="16"/>
      <c r="B366" s="35"/>
      <c r="C366" s="33"/>
      <c r="D366" s="33"/>
      <c r="E366" s="34"/>
      <c r="F366" s="33"/>
      <c r="G366" s="16" t="str">
        <f t="shared" si="5"/>
        <v/>
      </c>
    </row>
    <row r="367" spans="1:7">
      <c r="A367" s="16"/>
      <c r="B367" s="35"/>
      <c r="C367" s="33"/>
      <c r="D367" s="33"/>
      <c r="E367" s="34"/>
      <c r="F367" s="33"/>
      <c r="G367" s="16" t="str">
        <f t="shared" si="5"/>
        <v/>
      </c>
    </row>
    <row r="368" spans="1:7">
      <c r="A368" s="16"/>
      <c r="B368" s="35"/>
      <c r="C368" s="33"/>
      <c r="D368" s="33"/>
      <c r="E368" s="34"/>
      <c r="F368" s="33"/>
      <c r="G368" s="16" t="str">
        <f t="shared" si="5"/>
        <v/>
      </c>
    </row>
    <row r="369" spans="1:7">
      <c r="A369" s="16"/>
      <c r="B369" s="35"/>
      <c r="C369" s="33"/>
      <c r="D369" s="33"/>
      <c r="E369" s="34"/>
      <c r="F369" s="33"/>
      <c r="G369" s="16" t="str">
        <f t="shared" si="5"/>
        <v/>
      </c>
    </row>
    <row r="370" spans="1:7">
      <c r="A370" s="16"/>
      <c r="B370" s="35"/>
      <c r="C370" s="33"/>
      <c r="D370" s="33"/>
      <c r="E370" s="34"/>
      <c r="F370" s="33"/>
      <c r="G370" s="16" t="str">
        <f t="shared" si="5"/>
        <v/>
      </c>
    </row>
    <row r="371" spans="1:7">
      <c r="A371" s="16"/>
      <c r="B371" s="35"/>
      <c r="C371" s="33"/>
      <c r="D371" s="33"/>
      <c r="E371" s="34"/>
      <c r="F371" s="33"/>
      <c r="G371" s="16" t="str">
        <f t="shared" si="5"/>
        <v/>
      </c>
    </row>
    <row r="372" spans="1:7">
      <c r="A372" s="16"/>
      <c r="B372" s="35"/>
      <c r="C372" s="33"/>
      <c r="D372" s="33"/>
      <c r="E372" s="34"/>
      <c r="F372" s="33"/>
      <c r="G372" s="16" t="str">
        <f t="shared" si="5"/>
        <v/>
      </c>
    </row>
    <row r="373" spans="1:7">
      <c r="A373" s="16"/>
      <c r="B373" s="35"/>
      <c r="C373" s="33"/>
      <c r="D373" s="33"/>
      <c r="E373" s="34"/>
      <c r="F373" s="33"/>
      <c r="G373" s="16" t="str">
        <f t="shared" si="5"/>
        <v/>
      </c>
    </row>
    <row r="374" spans="1:7">
      <c r="A374" s="16"/>
      <c r="B374" s="35"/>
      <c r="C374" s="33"/>
      <c r="D374" s="33"/>
      <c r="E374" s="34"/>
      <c r="F374" s="33"/>
      <c r="G374" s="16" t="str">
        <f t="shared" si="5"/>
        <v/>
      </c>
    </row>
    <row r="375" spans="1:7">
      <c r="A375" s="16"/>
      <c r="B375" s="35"/>
      <c r="C375" s="33"/>
      <c r="D375" s="33"/>
      <c r="E375" s="34"/>
      <c r="F375" s="33"/>
      <c r="G375" s="16" t="str">
        <f t="shared" si="5"/>
        <v/>
      </c>
    </row>
    <row r="376" spans="1:7">
      <c r="A376" s="16"/>
      <c r="B376" s="35"/>
      <c r="C376" s="33"/>
      <c r="D376" s="33"/>
      <c r="E376" s="34"/>
      <c r="F376" s="33"/>
      <c r="G376" s="16" t="str">
        <f t="shared" si="5"/>
        <v/>
      </c>
    </row>
    <row r="377" spans="1:7">
      <c r="A377" s="16"/>
      <c r="B377" s="35"/>
      <c r="C377" s="33"/>
      <c r="D377" s="33"/>
      <c r="E377" s="34"/>
      <c r="F377" s="33"/>
      <c r="G377" s="16" t="str">
        <f t="shared" si="5"/>
        <v/>
      </c>
    </row>
    <row r="378" spans="1:7">
      <c r="A378" s="16"/>
      <c r="B378" s="35"/>
      <c r="C378" s="33"/>
      <c r="D378" s="33"/>
      <c r="E378" s="34"/>
      <c r="F378" s="33"/>
      <c r="G378" s="16" t="str">
        <f t="shared" si="5"/>
        <v/>
      </c>
    </row>
    <row r="379" spans="1:7">
      <c r="A379" s="16"/>
      <c r="B379" s="35"/>
      <c r="C379" s="33"/>
      <c r="D379" s="33"/>
      <c r="E379" s="34"/>
      <c r="F379" s="33"/>
      <c r="G379" s="16" t="str">
        <f t="shared" si="5"/>
        <v/>
      </c>
    </row>
    <row r="380" spans="1:7">
      <c r="A380" s="16"/>
      <c r="B380" s="35"/>
      <c r="C380" s="33"/>
      <c r="D380" s="33"/>
      <c r="E380" s="34"/>
      <c r="F380" s="33"/>
      <c r="G380" s="16" t="str">
        <f t="shared" si="5"/>
        <v/>
      </c>
    </row>
    <row r="381" spans="1:7">
      <c r="A381" s="16"/>
      <c r="B381" s="35"/>
      <c r="C381" s="33"/>
      <c r="D381" s="33"/>
      <c r="E381" s="34"/>
      <c r="F381" s="33"/>
      <c r="G381" s="16" t="str">
        <f t="shared" si="5"/>
        <v/>
      </c>
    </row>
    <row r="382" spans="1:7">
      <c r="A382" s="16"/>
      <c r="B382" s="35"/>
      <c r="C382" s="33"/>
      <c r="D382" s="33"/>
      <c r="E382" s="34"/>
      <c r="F382" s="33"/>
      <c r="G382" s="16" t="str">
        <f t="shared" si="5"/>
        <v/>
      </c>
    </row>
    <row r="383" spans="1:7">
      <c r="A383" s="16"/>
      <c r="B383" s="35"/>
      <c r="C383" s="33"/>
      <c r="D383" s="33"/>
      <c r="E383" s="34"/>
      <c r="F383" s="33"/>
      <c r="G383" s="16" t="str">
        <f t="shared" si="5"/>
        <v/>
      </c>
    </row>
    <row r="384" spans="1:7">
      <c r="A384" s="16"/>
      <c r="B384" s="35"/>
      <c r="C384" s="33"/>
      <c r="D384" s="33"/>
      <c r="E384" s="34"/>
      <c r="F384" s="33"/>
      <c r="G384" s="16" t="str">
        <f t="shared" si="5"/>
        <v/>
      </c>
    </row>
    <row r="385" spans="1:7">
      <c r="A385" s="16"/>
      <c r="B385" s="35"/>
      <c r="C385" s="33"/>
      <c r="D385" s="33"/>
      <c r="E385" s="34"/>
      <c r="F385" s="33"/>
      <c r="G385" s="16" t="str">
        <f t="shared" si="5"/>
        <v/>
      </c>
    </row>
    <row r="386" spans="1:7">
      <c r="A386" s="16"/>
      <c r="B386" s="35"/>
      <c r="C386" s="33"/>
      <c r="D386" s="33"/>
      <c r="E386" s="34"/>
      <c r="F386" s="33"/>
      <c r="G386" s="16" t="str">
        <f t="shared" si="5"/>
        <v/>
      </c>
    </row>
    <row r="387" spans="1:7">
      <c r="A387" s="16"/>
      <c r="B387" s="35"/>
      <c r="C387" s="33"/>
      <c r="D387" s="33"/>
      <c r="E387" s="34"/>
      <c r="F387" s="33"/>
      <c r="G387" s="16" t="str">
        <f t="shared" si="5"/>
        <v/>
      </c>
    </row>
    <row r="388" spans="1:7">
      <c r="A388" s="16"/>
      <c r="B388" s="35"/>
      <c r="C388" s="33"/>
      <c r="D388" s="33"/>
      <c r="E388" s="34"/>
      <c r="F388" s="33"/>
      <c r="G388" s="16" t="str">
        <f t="shared" si="5"/>
        <v/>
      </c>
    </row>
    <row r="389" spans="1:7">
      <c r="A389" s="16"/>
      <c r="B389" s="35"/>
      <c r="C389" s="33"/>
      <c r="D389" s="33"/>
      <c r="E389" s="34"/>
      <c r="F389" s="33"/>
      <c r="G389" s="16" t="str">
        <f t="shared" si="5"/>
        <v/>
      </c>
    </row>
    <row r="390" spans="1:7">
      <c r="A390" s="16"/>
      <c r="B390" s="35"/>
      <c r="C390" s="33"/>
      <c r="D390" s="33"/>
      <c r="E390" s="34"/>
      <c r="F390" s="33"/>
      <c r="G390" s="16" t="str">
        <f t="shared" si="5"/>
        <v/>
      </c>
    </row>
    <row r="391" spans="1:7">
      <c r="A391" s="16"/>
      <c r="B391" s="35"/>
      <c r="C391" s="33"/>
      <c r="D391" s="33"/>
      <c r="E391" s="34"/>
      <c r="F391" s="33"/>
      <c r="G391" s="16" t="str">
        <f t="shared" ref="G391:G454" si="6">IF(B391="","",MONTH(B391))</f>
        <v/>
      </c>
    </row>
    <row r="392" spans="1:7">
      <c r="A392" s="16"/>
      <c r="B392" s="35"/>
      <c r="C392" s="33"/>
      <c r="D392" s="33"/>
      <c r="E392" s="34"/>
      <c r="F392" s="33"/>
      <c r="G392" s="16" t="str">
        <f t="shared" si="6"/>
        <v/>
      </c>
    </row>
    <row r="393" spans="1:7">
      <c r="A393" s="16"/>
      <c r="B393" s="35"/>
      <c r="C393" s="33"/>
      <c r="D393" s="33"/>
      <c r="E393" s="34"/>
      <c r="F393" s="33"/>
      <c r="G393" s="16" t="str">
        <f t="shared" si="6"/>
        <v/>
      </c>
    </row>
    <row r="394" spans="1:7">
      <c r="A394" s="16"/>
      <c r="B394" s="35"/>
      <c r="C394" s="33"/>
      <c r="D394" s="33"/>
      <c r="E394" s="34"/>
      <c r="F394" s="33"/>
      <c r="G394" s="16" t="str">
        <f t="shared" si="6"/>
        <v/>
      </c>
    </row>
    <row r="395" spans="1:7">
      <c r="A395" s="16"/>
      <c r="B395" s="35"/>
      <c r="C395" s="33"/>
      <c r="D395" s="33"/>
      <c r="E395" s="34"/>
      <c r="F395" s="33"/>
      <c r="G395" s="16" t="str">
        <f t="shared" si="6"/>
        <v/>
      </c>
    </row>
    <row r="396" spans="1:7">
      <c r="A396" s="16"/>
      <c r="B396" s="35"/>
      <c r="C396" s="33"/>
      <c r="D396" s="33"/>
      <c r="E396" s="34"/>
      <c r="F396" s="33"/>
      <c r="G396" s="16" t="str">
        <f t="shared" si="6"/>
        <v/>
      </c>
    </row>
    <row r="397" spans="1:7">
      <c r="A397" s="16"/>
      <c r="B397" s="35"/>
      <c r="C397" s="33"/>
      <c r="D397" s="33"/>
      <c r="E397" s="34"/>
      <c r="F397" s="33"/>
      <c r="G397" s="16" t="str">
        <f t="shared" si="6"/>
        <v/>
      </c>
    </row>
    <row r="398" spans="1:7">
      <c r="A398" s="16"/>
      <c r="B398" s="35"/>
      <c r="C398" s="33"/>
      <c r="D398" s="33"/>
      <c r="E398" s="34"/>
      <c r="F398" s="33"/>
      <c r="G398" s="16" t="str">
        <f t="shared" si="6"/>
        <v/>
      </c>
    </row>
    <row r="399" spans="1:7">
      <c r="A399" s="16"/>
      <c r="B399" s="35"/>
      <c r="C399" s="33"/>
      <c r="D399" s="33"/>
      <c r="E399" s="34"/>
      <c r="F399" s="33"/>
      <c r="G399" s="16" t="str">
        <f t="shared" si="6"/>
        <v/>
      </c>
    </row>
    <row r="400" spans="1:7">
      <c r="A400" s="16"/>
      <c r="B400" s="35"/>
      <c r="C400" s="33"/>
      <c r="D400" s="33"/>
      <c r="E400" s="34"/>
      <c r="F400" s="33"/>
      <c r="G400" s="16" t="str">
        <f t="shared" si="6"/>
        <v/>
      </c>
    </row>
    <row r="401" spans="1:7">
      <c r="A401" s="16"/>
      <c r="B401" s="35"/>
      <c r="C401" s="33"/>
      <c r="D401" s="33"/>
      <c r="E401" s="34"/>
      <c r="F401" s="33"/>
      <c r="G401" s="16" t="str">
        <f t="shared" si="6"/>
        <v/>
      </c>
    </row>
    <row r="402" spans="1:7">
      <c r="A402" s="16"/>
      <c r="B402" s="35"/>
      <c r="C402" s="33"/>
      <c r="D402" s="33"/>
      <c r="E402" s="34"/>
      <c r="F402" s="33"/>
      <c r="G402" s="16" t="str">
        <f t="shared" si="6"/>
        <v/>
      </c>
    </row>
    <row r="403" spans="1:7">
      <c r="A403" s="16"/>
      <c r="B403" s="35"/>
      <c r="C403" s="33"/>
      <c r="D403" s="33"/>
      <c r="E403" s="34"/>
      <c r="F403" s="33"/>
      <c r="G403" s="16" t="str">
        <f t="shared" si="6"/>
        <v/>
      </c>
    </row>
    <row r="404" spans="1:7">
      <c r="A404" s="16"/>
      <c r="B404" s="35"/>
      <c r="C404" s="33"/>
      <c r="D404" s="33"/>
      <c r="E404" s="34"/>
      <c r="F404" s="33"/>
      <c r="G404" s="16" t="str">
        <f t="shared" si="6"/>
        <v/>
      </c>
    </row>
    <row r="405" spans="1:7">
      <c r="A405" s="16"/>
      <c r="B405" s="35"/>
      <c r="C405" s="33"/>
      <c r="D405" s="33"/>
      <c r="E405" s="34"/>
      <c r="F405" s="33"/>
      <c r="G405" s="16" t="str">
        <f t="shared" si="6"/>
        <v/>
      </c>
    </row>
    <row r="406" spans="1:7">
      <c r="A406" s="16"/>
      <c r="B406" s="35"/>
      <c r="C406" s="33"/>
      <c r="D406" s="33"/>
      <c r="E406" s="34"/>
      <c r="F406" s="33"/>
      <c r="G406" s="16" t="str">
        <f t="shared" si="6"/>
        <v/>
      </c>
    </row>
    <row r="407" spans="1:7">
      <c r="A407" s="16"/>
      <c r="B407" s="35"/>
      <c r="C407" s="33"/>
      <c r="D407" s="33"/>
      <c r="E407" s="34"/>
      <c r="F407" s="33"/>
      <c r="G407" s="16" t="str">
        <f t="shared" si="6"/>
        <v/>
      </c>
    </row>
    <row r="408" spans="1:7">
      <c r="A408" s="16"/>
      <c r="B408" s="35"/>
      <c r="C408" s="33"/>
      <c r="D408" s="33"/>
      <c r="E408" s="34"/>
      <c r="F408" s="33"/>
      <c r="G408" s="16" t="str">
        <f t="shared" si="6"/>
        <v/>
      </c>
    </row>
    <row r="409" spans="1:7">
      <c r="A409" s="16"/>
      <c r="B409" s="35"/>
      <c r="C409" s="33"/>
      <c r="D409" s="33"/>
      <c r="E409" s="34"/>
      <c r="F409" s="33"/>
      <c r="G409" s="16" t="str">
        <f t="shared" si="6"/>
        <v/>
      </c>
    </row>
    <row r="410" spans="1:7">
      <c r="A410" s="16"/>
      <c r="B410" s="35"/>
      <c r="C410" s="33"/>
      <c r="D410" s="33"/>
      <c r="E410" s="34"/>
      <c r="F410" s="33"/>
      <c r="G410" s="16" t="str">
        <f t="shared" si="6"/>
        <v/>
      </c>
    </row>
    <row r="411" spans="1:7">
      <c r="A411" s="16"/>
      <c r="B411" s="35"/>
      <c r="C411" s="33"/>
      <c r="D411" s="33"/>
      <c r="E411" s="34"/>
      <c r="F411" s="33"/>
      <c r="G411" s="16" t="str">
        <f t="shared" si="6"/>
        <v/>
      </c>
    </row>
    <row r="412" spans="1:7">
      <c r="A412" s="16"/>
      <c r="B412" s="35"/>
      <c r="C412" s="33"/>
      <c r="D412" s="33"/>
      <c r="E412" s="34"/>
      <c r="F412" s="33"/>
      <c r="G412" s="16" t="str">
        <f t="shared" si="6"/>
        <v/>
      </c>
    </row>
    <row r="413" spans="1:7">
      <c r="A413" s="16"/>
      <c r="B413" s="35"/>
      <c r="C413" s="33"/>
      <c r="D413" s="33"/>
      <c r="E413" s="34"/>
      <c r="F413" s="33"/>
      <c r="G413" s="16" t="str">
        <f t="shared" si="6"/>
        <v/>
      </c>
    </row>
    <row r="414" spans="1:7">
      <c r="A414" s="16"/>
      <c r="B414" s="35"/>
      <c r="C414" s="33"/>
      <c r="D414" s="33"/>
      <c r="E414" s="34"/>
      <c r="F414" s="33"/>
      <c r="G414" s="16" t="str">
        <f t="shared" si="6"/>
        <v/>
      </c>
    </row>
    <row r="415" spans="1:7">
      <c r="A415" s="16"/>
      <c r="B415" s="35"/>
      <c r="C415" s="33"/>
      <c r="D415" s="33"/>
      <c r="E415" s="34"/>
      <c r="F415" s="33"/>
      <c r="G415" s="16" t="str">
        <f t="shared" si="6"/>
        <v/>
      </c>
    </row>
    <row r="416" spans="1:7">
      <c r="A416" s="16"/>
      <c r="B416" s="35"/>
      <c r="C416" s="33"/>
      <c r="D416" s="33"/>
      <c r="E416" s="34"/>
      <c r="F416" s="33"/>
      <c r="G416" s="16" t="str">
        <f t="shared" si="6"/>
        <v/>
      </c>
    </row>
    <row r="417" spans="1:7">
      <c r="A417" s="16"/>
      <c r="B417" s="35"/>
      <c r="C417" s="33"/>
      <c r="D417" s="33"/>
      <c r="E417" s="34"/>
      <c r="F417" s="33"/>
      <c r="G417" s="16" t="str">
        <f t="shared" si="6"/>
        <v/>
      </c>
    </row>
    <row r="418" spans="1:7">
      <c r="A418" s="16"/>
      <c r="B418" s="35"/>
      <c r="C418" s="33"/>
      <c r="D418" s="33"/>
      <c r="E418" s="34"/>
      <c r="F418" s="33"/>
      <c r="G418" s="16" t="str">
        <f t="shared" si="6"/>
        <v/>
      </c>
    </row>
    <row r="419" spans="1:7">
      <c r="A419" s="16"/>
      <c r="B419" s="35"/>
      <c r="C419" s="33"/>
      <c r="D419" s="33"/>
      <c r="E419" s="34"/>
      <c r="F419" s="33"/>
      <c r="G419" s="16" t="str">
        <f t="shared" si="6"/>
        <v/>
      </c>
    </row>
    <row r="420" spans="1:7">
      <c r="A420" s="16"/>
      <c r="B420" s="35"/>
      <c r="C420" s="33"/>
      <c r="D420" s="33"/>
      <c r="E420" s="34"/>
      <c r="F420" s="33"/>
      <c r="G420" s="16" t="str">
        <f t="shared" si="6"/>
        <v/>
      </c>
    </row>
    <row r="421" spans="1:7">
      <c r="A421" s="16"/>
      <c r="B421" s="35"/>
      <c r="C421" s="33"/>
      <c r="D421" s="33"/>
      <c r="E421" s="34"/>
      <c r="F421" s="33"/>
      <c r="G421" s="16" t="str">
        <f t="shared" si="6"/>
        <v/>
      </c>
    </row>
    <row r="422" spans="1:7">
      <c r="A422" s="16"/>
      <c r="B422" s="35"/>
      <c r="C422" s="33"/>
      <c r="D422" s="33"/>
      <c r="E422" s="34"/>
      <c r="F422" s="33"/>
      <c r="G422" s="16" t="str">
        <f t="shared" si="6"/>
        <v/>
      </c>
    </row>
    <row r="423" spans="1:7">
      <c r="A423" s="16"/>
      <c r="B423" s="35"/>
      <c r="C423" s="33"/>
      <c r="D423" s="33"/>
      <c r="E423" s="34"/>
      <c r="F423" s="33"/>
      <c r="G423" s="16" t="str">
        <f t="shared" si="6"/>
        <v/>
      </c>
    </row>
    <row r="424" spans="1:7">
      <c r="A424" s="16"/>
      <c r="B424" s="35"/>
      <c r="C424" s="33"/>
      <c r="D424" s="33"/>
      <c r="E424" s="34"/>
      <c r="F424" s="33"/>
      <c r="G424" s="16" t="str">
        <f t="shared" si="6"/>
        <v/>
      </c>
    </row>
    <row r="425" spans="1:7">
      <c r="A425" s="16"/>
      <c r="B425" s="35"/>
      <c r="C425" s="33"/>
      <c r="D425" s="33"/>
      <c r="E425" s="34"/>
      <c r="F425" s="33"/>
      <c r="G425" s="16" t="str">
        <f t="shared" si="6"/>
        <v/>
      </c>
    </row>
    <row r="426" spans="1:7">
      <c r="A426" s="16"/>
      <c r="B426" s="35"/>
      <c r="C426" s="33"/>
      <c r="D426" s="33"/>
      <c r="E426" s="34"/>
      <c r="F426" s="33"/>
      <c r="G426" s="16" t="str">
        <f t="shared" si="6"/>
        <v/>
      </c>
    </row>
    <row r="427" spans="1:7">
      <c r="A427" s="16"/>
      <c r="B427" s="35"/>
      <c r="C427" s="33"/>
      <c r="D427" s="33"/>
      <c r="E427" s="34"/>
      <c r="F427" s="33"/>
      <c r="G427" s="16" t="str">
        <f t="shared" si="6"/>
        <v/>
      </c>
    </row>
    <row r="428" spans="1:7">
      <c r="A428" s="16"/>
      <c r="B428" s="35"/>
      <c r="C428" s="33"/>
      <c r="D428" s="33"/>
      <c r="E428" s="34"/>
      <c r="F428" s="33"/>
      <c r="G428" s="16" t="str">
        <f t="shared" si="6"/>
        <v/>
      </c>
    </row>
    <row r="429" spans="1:7">
      <c r="A429" s="16"/>
      <c r="B429" s="35"/>
      <c r="C429" s="33"/>
      <c r="D429" s="33"/>
      <c r="E429" s="34"/>
      <c r="F429" s="33"/>
      <c r="G429" s="16" t="str">
        <f t="shared" si="6"/>
        <v/>
      </c>
    </row>
    <row r="430" spans="1:7">
      <c r="A430" s="16"/>
      <c r="B430" s="35"/>
      <c r="C430" s="33"/>
      <c r="D430" s="33"/>
      <c r="E430" s="34"/>
      <c r="F430" s="33"/>
      <c r="G430" s="16" t="str">
        <f t="shared" si="6"/>
        <v/>
      </c>
    </row>
    <row r="431" spans="1:7">
      <c r="A431" s="16"/>
      <c r="B431" s="35"/>
      <c r="C431" s="33"/>
      <c r="D431" s="33"/>
      <c r="E431" s="34"/>
      <c r="F431" s="33"/>
      <c r="G431" s="16" t="str">
        <f t="shared" si="6"/>
        <v/>
      </c>
    </row>
    <row r="432" spans="1:7">
      <c r="A432" s="16"/>
      <c r="B432" s="35"/>
      <c r="C432" s="33"/>
      <c r="D432" s="33"/>
      <c r="E432" s="34"/>
      <c r="F432" s="33"/>
      <c r="G432" s="16" t="str">
        <f t="shared" si="6"/>
        <v/>
      </c>
    </row>
    <row r="433" spans="1:7">
      <c r="A433" s="16"/>
      <c r="B433" s="35"/>
      <c r="C433" s="33"/>
      <c r="D433" s="33"/>
      <c r="E433" s="34"/>
      <c r="F433" s="33"/>
      <c r="G433" s="16" t="str">
        <f t="shared" si="6"/>
        <v/>
      </c>
    </row>
    <row r="434" spans="1:7">
      <c r="A434" s="16"/>
      <c r="B434" s="35"/>
      <c r="C434" s="33"/>
      <c r="D434" s="33"/>
      <c r="E434" s="34"/>
      <c r="F434" s="33"/>
      <c r="G434" s="16" t="str">
        <f t="shared" si="6"/>
        <v/>
      </c>
    </row>
    <row r="435" spans="1:7">
      <c r="A435" s="16"/>
      <c r="B435" s="35"/>
      <c r="C435" s="33"/>
      <c r="D435" s="33"/>
      <c r="E435" s="34"/>
      <c r="F435" s="33"/>
      <c r="G435" s="16" t="str">
        <f t="shared" si="6"/>
        <v/>
      </c>
    </row>
    <row r="436" spans="1:7">
      <c r="A436" s="16"/>
      <c r="B436" s="35"/>
      <c r="C436" s="33"/>
      <c r="D436" s="33"/>
      <c r="E436" s="34"/>
      <c r="F436" s="33"/>
      <c r="G436" s="16" t="str">
        <f t="shared" si="6"/>
        <v/>
      </c>
    </row>
    <row r="437" spans="1:7">
      <c r="A437" s="16"/>
      <c r="B437" s="35"/>
      <c r="C437" s="33"/>
      <c r="D437" s="33"/>
      <c r="E437" s="34"/>
      <c r="F437" s="33"/>
      <c r="G437" s="16" t="str">
        <f t="shared" si="6"/>
        <v/>
      </c>
    </row>
    <row r="438" spans="1:7">
      <c r="A438" s="16"/>
      <c r="B438" s="35"/>
      <c r="C438" s="33"/>
      <c r="D438" s="33"/>
      <c r="E438" s="34"/>
      <c r="F438" s="33"/>
      <c r="G438" s="16" t="str">
        <f t="shared" si="6"/>
        <v/>
      </c>
    </row>
    <row r="439" spans="1:7">
      <c r="A439" s="16"/>
      <c r="B439" s="35"/>
      <c r="C439" s="33"/>
      <c r="D439" s="33"/>
      <c r="E439" s="34"/>
      <c r="F439" s="33"/>
      <c r="G439" s="16" t="str">
        <f t="shared" si="6"/>
        <v/>
      </c>
    </row>
    <row r="440" spans="1:7">
      <c r="A440" s="16"/>
      <c r="B440" s="35"/>
      <c r="C440" s="33"/>
      <c r="D440" s="33"/>
      <c r="E440" s="34"/>
      <c r="F440" s="33"/>
      <c r="G440" s="16" t="str">
        <f t="shared" si="6"/>
        <v/>
      </c>
    </row>
    <row r="441" spans="1:7">
      <c r="A441" s="16"/>
      <c r="B441" s="35"/>
      <c r="C441" s="33"/>
      <c r="D441" s="33"/>
      <c r="E441" s="34"/>
      <c r="F441" s="33"/>
      <c r="G441" s="16" t="str">
        <f t="shared" si="6"/>
        <v/>
      </c>
    </row>
    <row r="442" spans="1:7">
      <c r="A442" s="16"/>
      <c r="B442" s="35"/>
      <c r="C442" s="33"/>
      <c r="D442" s="33"/>
      <c r="E442" s="34"/>
      <c r="F442" s="33"/>
      <c r="G442" s="16" t="str">
        <f t="shared" si="6"/>
        <v/>
      </c>
    </row>
    <row r="443" spans="1:7">
      <c r="A443" s="16"/>
      <c r="B443" s="35"/>
      <c r="C443" s="33"/>
      <c r="D443" s="33"/>
      <c r="E443" s="34"/>
      <c r="F443" s="33"/>
      <c r="G443" s="16" t="str">
        <f t="shared" si="6"/>
        <v/>
      </c>
    </row>
    <row r="444" spans="1:7">
      <c r="A444" s="16"/>
      <c r="B444" s="35"/>
      <c r="C444" s="33"/>
      <c r="D444" s="33"/>
      <c r="E444" s="34"/>
      <c r="F444" s="33"/>
      <c r="G444" s="16" t="str">
        <f t="shared" si="6"/>
        <v/>
      </c>
    </row>
    <row r="445" spans="1:7">
      <c r="A445" s="16"/>
      <c r="B445" s="35"/>
      <c r="C445" s="33"/>
      <c r="D445" s="33"/>
      <c r="E445" s="34"/>
      <c r="F445" s="33"/>
      <c r="G445" s="16" t="str">
        <f t="shared" si="6"/>
        <v/>
      </c>
    </row>
    <row r="446" spans="1:7">
      <c r="A446" s="16"/>
      <c r="B446" s="35"/>
      <c r="C446" s="33"/>
      <c r="D446" s="33"/>
      <c r="E446" s="34"/>
      <c r="F446" s="33"/>
      <c r="G446" s="16" t="str">
        <f t="shared" si="6"/>
        <v/>
      </c>
    </row>
    <row r="447" spans="1:7">
      <c r="A447" s="16"/>
      <c r="B447" s="35"/>
      <c r="C447" s="33"/>
      <c r="D447" s="33"/>
      <c r="E447" s="34"/>
      <c r="F447" s="33"/>
      <c r="G447" s="16" t="str">
        <f t="shared" si="6"/>
        <v/>
      </c>
    </row>
    <row r="448" spans="1:7">
      <c r="A448" s="16"/>
      <c r="B448" s="35"/>
      <c r="C448" s="33"/>
      <c r="D448" s="33"/>
      <c r="E448" s="34"/>
      <c r="F448" s="33"/>
      <c r="G448" s="16" t="str">
        <f t="shared" si="6"/>
        <v/>
      </c>
    </row>
    <row r="449" spans="1:7">
      <c r="A449" s="16"/>
      <c r="B449" s="35"/>
      <c r="C449" s="33"/>
      <c r="D449" s="33"/>
      <c r="E449" s="34"/>
      <c r="F449" s="33"/>
      <c r="G449" s="16" t="str">
        <f t="shared" si="6"/>
        <v/>
      </c>
    </row>
    <row r="450" spans="1:7">
      <c r="A450" s="16"/>
      <c r="B450" s="35"/>
      <c r="C450" s="33"/>
      <c r="D450" s="33"/>
      <c r="E450" s="34"/>
      <c r="F450" s="33"/>
      <c r="G450" s="16" t="str">
        <f t="shared" si="6"/>
        <v/>
      </c>
    </row>
    <row r="451" spans="1:7">
      <c r="A451" s="16"/>
      <c r="B451" s="35"/>
      <c r="C451" s="33"/>
      <c r="D451" s="33"/>
      <c r="E451" s="34"/>
      <c r="F451" s="33"/>
      <c r="G451" s="16" t="str">
        <f t="shared" si="6"/>
        <v/>
      </c>
    </row>
    <row r="452" spans="1:7">
      <c r="A452" s="16"/>
      <c r="B452" s="35"/>
      <c r="C452" s="33"/>
      <c r="D452" s="33"/>
      <c r="E452" s="34"/>
      <c r="F452" s="33"/>
      <c r="G452" s="16" t="str">
        <f t="shared" si="6"/>
        <v/>
      </c>
    </row>
    <row r="453" spans="1:7">
      <c r="A453" s="16"/>
      <c r="B453" s="35"/>
      <c r="C453" s="33"/>
      <c r="D453" s="33"/>
      <c r="E453" s="34"/>
      <c r="F453" s="33"/>
      <c r="G453" s="16" t="str">
        <f t="shared" si="6"/>
        <v/>
      </c>
    </row>
    <row r="454" spans="1:7">
      <c r="A454" s="16"/>
      <c r="B454" s="35"/>
      <c r="C454" s="33"/>
      <c r="D454" s="33"/>
      <c r="E454" s="34"/>
      <c r="F454" s="33"/>
      <c r="G454" s="16" t="str">
        <f t="shared" si="6"/>
        <v/>
      </c>
    </row>
    <row r="455" spans="1:7">
      <c r="A455" s="16"/>
      <c r="B455" s="35"/>
      <c r="C455" s="33"/>
      <c r="D455" s="33"/>
      <c r="E455" s="34"/>
      <c r="F455" s="33"/>
      <c r="G455" s="16" t="str">
        <f t="shared" ref="G455:G501" si="7">IF(B455="","",MONTH(B455))</f>
        <v/>
      </c>
    </row>
    <row r="456" spans="1:7">
      <c r="A456" s="16"/>
      <c r="B456" s="35"/>
      <c r="C456" s="33"/>
      <c r="D456" s="33"/>
      <c r="E456" s="34"/>
      <c r="F456" s="33"/>
      <c r="G456" s="16" t="str">
        <f t="shared" si="7"/>
        <v/>
      </c>
    </row>
    <row r="457" spans="1:7">
      <c r="A457" s="16"/>
      <c r="B457" s="35"/>
      <c r="C457" s="33"/>
      <c r="D457" s="33"/>
      <c r="E457" s="34"/>
      <c r="F457" s="33"/>
      <c r="G457" s="16" t="str">
        <f t="shared" si="7"/>
        <v/>
      </c>
    </row>
    <row r="458" spans="1:7">
      <c r="A458" s="16"/>
      <c r="B458" s="35"/>
      <c r="C458" s="33"/>
      <c r="D458" s="33"/>
      <c r="E458" s="34"/>
      <c r="F458" s="33"/>
      <c r="G458" s="16" t="str">
        <f t="shared" si="7"/>
        <v/>
      </c>
    </row>
    <row r="459" spans="1:7">
      <c r="A459" s="16"/>
      <c r="B459" s="35"/>
      <c r="C459" s="33"/>
      <c r="D459" s="33"/>
      <c r="E459" s="34"/>
      <c r="F459" s="33"/>
      <c r="G459" s="16" t="str">
        <f t="shared" si="7"/>
        <v/>
      </c>
    </row>
    <row r="460" spans="1:7">
      <c r="A460" s="16"/>
      <c r="B460" s="35"/>
      <c r="C460" s="33"/>
      <c r="D460" s="33"/>
      <c r="E460" s="34"/>
      <c r="F460" s="33"/>
      <c r="G460" s="16" t="str">
        <f t="shared" si="7"/>
        <v/>
      </c>
    </row>
    <row r="461" spans="1:7">
      <c r="A461" s="16"/>
      <c r="B461" s="35"/>
      <c r="C461" s="33"/>
      <c r="D461" s="33"/>
      <c r="E461" s="34"/>
      <c r="F461" s="33"/>
      <c r="G461" s="16" t="str">
        <f t="shared" si="7"/>
        <v/>
      </c>
    </row>
    <row r="462" spans="1:7">
      <c r="A462" s="16"/>
      <c r="B462" s="35"/>
      <c r="C462" s="33"/>
      <c r="D462" s="33"/>
      <c r="E462" s="34"/>
      <c r="F462" s="33"/>
      <c r="G462" s="16" t="str">
        <f t="shared" si="7"/>
        <v/>
      </c>
    </row>
    <row r="463" spans="1:7">
      <c r="A463" s="16"/>
      <c r="B463" s="35"/>
      <c r="C463" s="33"/>
      <c r="D463" s="33"/>
      <c r="E463" s="34"/>
      <c r="F463" s="33"/>
      <c r="G463" s="16" t="str">
        <f t="shared" si="7"/>
        <v/>
      </c>
    </row>
    <row r="464" spans="1:7">
      <c r="A464" s="16"/>
      <c r="B464" s="35"/>
      <c r="C464" s="33"/>
      <c r="D464" s="33"/>
      <c r="E464" s="34"/>
      <c r="F464" s="33"/>
      <c r="G464" s="16" t="str">
        <f t="shared" si="7"/>
        <v/>
      </c>
    </row>
    <row r="465" spans="1:7">
      <c r="A465" s="16"/>
      <c r="B465" s="35"/>
      <c r="C465" s="33"/>
      <c r="D465" s="33"/>
      <c r="E465" s="34"/>
      <c r="F465" s="33"/>
      <c r="G465" s="16" t="str">
        <f t="shared" si="7"/>
        <v/>
      </c>
    </row>
    <row r="466" spans="1:7">
      <c r="A466" s="16"/>
      <c r="B466" s="35"/>
      <c r="C466" s="33"/>
      <c r="D466" s="33"/>
      <c r="E466" s="34"/>
      <c r="F466" s="33"/>
      <c r="G466" s="16" t="str">
        <f t="shared" si="7"/>
        <v/>
      </c>
    </row>
    <row r="467" spans="1:7">
      <c r="A467" s="16"/>
      <c r="B467" s="35"/>
      <c r="C467" s="33"/>
      <c r="D467" s="33"/>
      <c r="E467" s="34"/>
      <c r="F467" s="33"/>
      <c r="G467" s="16" t="str">
        <f t="shared" si="7"/>
        <v/>
      </c>
    </row>
    <row r="468" spans="1:7">
      <c r="A468" s="16"/>
      <c r="B468" s="35"/>
      <c r="C468" s="33"/>
      <c r="D468" s="33"/>
      <c r="E468" s="34"/>
      <c r="F468" s="33"/>
      <c r="G468" s="16" t="str">
        <f t="shared" si="7"/>
        <v/>
      </c>
    </row>
    <row r="469" spans="1:7">
      <c r="A469" s="16"/>
      <c r="B469" s="35"/>
      <c r="C469" s="33"/>
      <c r="D469" s="33"/>
      <c r="E469" s="34"/>
      <c r="F469" s="33"/>
      <c r="G469" s="16" t="str">
        <f t="shared" si="7"/>
        <v/>
      </c>
    </row>
    <row r="470" spans="1:7">
      <c r="A470" s="16"/>
      <c r="B470" s="35"/>
      <c r="C470" s="33"/>
      <c r="D470" s="33"/>
      <c r="E470" s="34"/>
      <c r="F470" s="33"/>
      <c r="G470" s="16" t="str">
        <f t="shared" si="7"/>
        <v/>
      </c>
    </row>
    <row r="471" spans="1:7">
      <c r="A471" s="16"/>
      <c r="B471" s="35"/>
      <c r="C471" s="33"/>
      <c r="D471" s="33"/>
      <c r="E471" s="34"/>
      <c r="F471" s="33"/>
      <c r="G471" s="16" t="str">
        <f t="shared" si="7"/>
        <v/>
      </c>
    </row>
    <row r="472" spans="1:7">
      <c r="A472" s="16"/>
      <c r="B472" s="35"/>
      <c r="C472" s="33"/>
      <c r="D472" s="33"/>
      <c r="E472" s="34"/>
      <c r="F472" s="33"/>
      <c r="G472" s="16" t="str">
        <f t="shared" si="7"/>
        <v/>
      </c>
    </row>
    <row r="473" spans="1:7">
      <c r="A473" s="16"/>
      <c r="B473" s="35"/>
      <c r="C473" s="33"/>
      <c r="D473" s="33"/>
      <c r="E473" s="34"/>
      <c r="F473" s="33"/>
      <c r="G473" s="16" t="str">
        <f t="shared" si="7"/>
        <v/>
      </c>
    </row>
    <row r="474" spans="1:7">
      <c r="A474" s="16"/>
      <c r="B474" s="35"/>
      <c r="C474" s="33"/>
      <c r="D474" s="33"/>
      <c r="E474" s="34"/>
      <c r="F474" s="33"/>
      <c r="G474" s="16" t="str">
        <f t="shared" si="7"/>
        <v/>
      </c>
    </row>
    <row r="475" spans="1:7">
      <c r="A475" s="16"/>
      <c r="B475" s="35"/>
      <c r="C475" s="33"/>
      <c r="D475" s="33"/>
      <c r="E475" s="34"/>
      <c r="F475" s="33"/>
      <c r="G475" s="16" t="str">
        <f t="shared" si="7"/>
        <v/>
      </c>
    </row>
    <row r="476" spans="1:7">
      <c r="A476" s="16"/>
      <c r="B476" s="35"/>
      <c r="C476" s="33"/>
      <c r="D476" s="33"/>
      <c r="E476" s="34"/>
      <c r="F476" s="33"/>
      <c r="G476" s="16" t="str">
        <f t="shared" si="7"/>
        <v/>
      </c>
    </row>
    <row r="477" spans="1:7">
      <c r="A477" s="16"/>
      <c r="B477" s="35"/>
      <c r="C477" s="33"/>
      <c r="D477" s="33"/>
      <c r="E477" s="34"/>
      <c r="F477" s="33"/>
      <c r="G477" s="16" t="str">
        <f t="shared" si="7"/>
        <v/>
      </c>
    </row>
    <row r="478" spans="1:7">
      <c r="A478" s="16"/>
      <c r="B478" s="35"/>
      <c r="C478" s="33"/>
      <c r="D478" s="33"/>
      <c r="E478" s="34"/>
      <c r="F478" s="33"/>
      <c r="G478" s="16" t="str">
        <f t="shared" si="7"/>
        <v/>
      </c>
    </row>
    <row r="479" spans="1:7">
      <c r="A479" s="16"/>
      <c r="B479" s="35"/>
      <c r="C479" s="33"/>
      <c r="D479" s="33"/>
      <c r="E479" s="34"/>
      <c r="F479" s="33"/>
      <c r="G479" s="16" t="str">
        <f t="shared" si="7"/>
        <v/>
      </c>
    </row>
    <row r="480" spans="1:7">
      <c r="A480" s="16"/>
      <c r="B480" s="35"/>
      <c r="C480" s="33"/>
      <c r="D480" s="33"/>
      <c r="E480" s="34"/>
      <c r="F480" s="33"/>
      <c r="G480" s="16" t="str">
        <f t="shared" si="7"/>
        <v/>
      </c>
    </row>
    <row r="481" spans="1:7">
      <c r="A481" s="16"/>
      <c r="B481" s="35"/>
      <c r="C481" s="33"/>
      <c r="D481" s="33"/>
      <c r="E481" s="34"/>
      <c r="F481" s="33"/>
      <c r="G481" s="16" t="str">
        <f t="shared" si="7"/>
        <v/>
      </c>
    </row>
    <row r="482" spans="1:7">
      <c r="A482" s="16"/>
      <c r="B482" s="35"/>
      <c r="C482" s="33"/>
      <c r="D482" s="33"/>
      <c r="E482" s="34"/>
      <c r="F482" s="33"/>
      <c r="G482" s="16" t="str">
        <f t="shared" si="7"/>
        <v/>
      </c>
    </row>
    <row r="483" spans="1:7">
      <c r="A483" s="16"/>
      <c r="B483" s="35"/>
      <c r="C483" s="33"/>
      <c r="D483" s="33"/>
      <c r="E483" s="34"/>
      <c r="F483" s="33"/>
      <c r="G483" s="16" t="str">
        <f t="shared" si="7"/>
        <v/>
      </c>
    </row>
    <row r="484" spans="1:7">
      <c r="A484" s="16"/>
      <c r="B484" s="35"/>
      <c r="C484" s="33"/>
      <c r="D484" s="33"/>
      <c r="E484" s="34"/>
      <c r="F484" s="33"/>
      <c r="G484" s="16" t="str">
        <f t="shared" si="7"/>
        <v/>
      </c>
    </row>
    <row r="485" spans="1:7">
      <c r="A485" s="16"/>
      <c r="B485" s="35"/>
      <c r="C485" s="33"/>
      <c r="D485" s="33"/>
      <c r="E485" s="34"/>
      <c r="F485" s="33"/>
      <c r="G485" s="16" t="str">
        <f t="shared" si="7"/>
        <v/>
      </c>
    </row>
    <row r="486" spans="1:7">
      <c r="A486" s="16"/>
      <c r="B486" s="35"/>
      <c r="C486" s="33"/>
      <c r="D486" s="33"/>
      <c r="E486" s="34"/>
      <c r="F486" s="33"/>
      <c r="G486" s="16" t="str">
        <f t="shared" si="7"/>
        <v/>
      </c>
    </row>
    <row r="487" spans="1:7">
      <c r="A487" s="16"/>
      <c r="B487" s="35"/>
      <c r="C487" s="33"/>
      <c r="D487" s="33"/>
      <c r="E487" s="34"/>
      <c r="F487" s="33"/>
      <c r="G487" s="16" t="str">
        <f t="shared" si="7"/>
        <v/>
      </c>
    </row>
    <row r="488" spans="1:7">
      <c r="A488" s="16"/>
      <c r="B488" s="35"/>
      <c r="C488" s="33"/>
      <c r="D488" s="33"/>
      <c r="E488" s="34"/>
      <c r="F488" s="33"/>
      <c r="G488" s="16" t="str">
        <f t="shared" si="7"/>
        <v/>
      </c>
    </row>
    <row r="489" spans="1:7">
      <c r="A489" s="16"/>
      <c r="B489" s="35"/>
      <c r="C489" s="33"/>
      <c r="D489" s="33"/>
      <c r="E489" s="34"/>
      <c r="F489" s="33"/>
      <c r="G489" s="16" t="str">
        <f t="shared" si="7"/>
        <v/>
      </c>
    </row>
    <row r="490" spans="1:7">
      <c r="A490" s="16"/>
      <c r="B490" s="35"/>
      <c r="C490" s="33"/>
      <c r="D490" s="33"/>
      <c r="E490" s="34"/>
      <c r="F490" s="33"/>
      <c r="G490" s="16" t="str">
        <f t="shared" si="7"/>
        <v/>
      </c>
    </row>
    <row r="491" spans="1:7">
      <c r="A491" s="16"/>
      <c r="B491" s="35"/>
      <c r="C491" s="33"/>
      <c r="D491" s="33"/>
      <c r="E491" s="34"/>
      <c r="F491" s="33"/>
      <c r="G491" s="16" t="str">
        <f t="shared" si="7"/>
        <v/>
      </c>
    </row>
    <row r="492" spans="1:7">
      <c r="A492" s="16"/>
      <c r="B492" s="35"/>
      <c r="C492" s="33"/>
      <c r="D492" s="33"/>
      <c r="E492" s="34"/>
      <c r="F492" s="33"/>
      <c r="G492" s="16" t="str">
        <f t="shared" si="7"/>
        <v/>
      </c>
    </row>
    <row r="493" spans="1:7">
      <c r="A493" s="16"/>
      <c r="B493" s="35"/>
      <c r="C493" s="33"/>
      <c r="D493" s="33"/>
      <c r="E493" s="34"/>
      <c r="F493" s="33"/>
      <c r="G493" s="16" t="str">
        <f t="shared" si="7"/>
        <v/>
      </c>
    </row>
    <row r="494" spans="1:7">
      <c r="A494" s="16"/>
      <c r="B494" s="35"/>
      <c r="C494" s="33"/>
      <c r="D494" s="33"/>
      <c r="E494" s="34"/>
      <c r="F494" s="33"/>
      <c r="G494" s="16" t="str">
        <f t="shared" si="7"/>
        <v/>
      </c>
    </row>
    <row r="495" spans="1:7">
      <c r="A495" s="16"/>
      <c r="B495" s="35"/>
      <c r="C495" s="33"/>
      <c r="D495" s="33"/>
      <c r="E495" s="34"/>
      <c r="F495" s="33"/>
      <c r="G495" s="16" t="str">
        <f t="shared" si="7"/>
        <v/>
      </c>
    </row>
    <row r="496" spans="1:7">
      <c r="A496" s="16"/>
      <c r="B496" s="35"/>
      <c r="C496" s="33"/>
      <c r="D496" s="33"/>
      <c r="E496" s="34"/>
      <c r="F496" s="33"/>
      <c r="G496" s="16" t="str">
        <f t="shared" si="7"/>
        <v/>
      </c>
    </row>
    <row r="497" spans="1:7">
      <c r="A497" s="16"/>
      <c r="B497" s="35"/>
      <c r="C497" s="33"/>
      <c r="D497" s="33"/>
      <c r="E497" s="34"/>
      <c r="F497" s="33"/>
      <c r="G497" s="16" t="str">
        <f t="shared" si="7"/>
        <v/>
      </c>
    </row>
    <row r="498" spans="1:7">
      <c r="A498" s="16"/>
      <c r="B498" s="35"/>
      <c r="C498" s="33"/>
      <c r="D498" s="33"/>
      <c r="E498" s="34"/>
      <c r="F498" s="33"/>
      <c r="G498" s="16" t="str">
        <f t="shared" si="7"/>
        <v/>
      </c>
    </row>
    <row r="499" spans="1:7">
      <c r="A499" s="16"/>
      <c r="B499" s="35"/>
      <c r="C499" s="33"/>
      <c r="D499" s="33"/>
      <c r="E499" s="34"/>
      <c r="F499" s="33"/>
      <c r="G499" s="16" t="str">
        <f t="shared" si="7"/>
        <v/>
      </c>
    </row>
    <row r="500" spans="1:7">
      <c r="A500" s="16"/>
      <c r="B500" s="35"/>
      <c r="C500" s="33"/>
      <c r="D500" s="33"/>
      <c r="E500" s="34"/>
      <c r="F500" s="33"/>
      <c r="G500" s="16" t="str">
        <f t="shared" si="7"/>
        <v/>
      </c>
    </row>
    <row r="501" spans="1:7">
      <c r="A501" s="16"/>
      <c r="B501" s="35"/>
      <c r="C501" s="33"/>
      <c r="D501" s="33"/>
      <c r="E501" s="34"/>
      <c r="F501" s="33"/>
      <c r="G501" s="16" t="str">
        <f t="shared" si="7"/>
        <v/>
      </c>
    </row>
  </sheetData>
  <sheetProtection sheet="1" objects="1" scenarios="1"/>
  <mergeCells count="1">
    <mergeCell ref="A2:C2"/>
  </mergeCells>
  <dataValidations count="4">
    <dataValidation type="list" allowBlank="1" showInputMessage="1" showErrorMessage="1" sqref="C6:C501" xr:uid="{42FF5828-BA97-44C8-B73F-2E908365D2FB}">
      <formula1>Cat_Gastos</formula1>
    </dataValidation>
    <dataValidation type="list" allowBlank="1" showInputMessage="1" showErrorMessage="1" sqref="F6:F501" xr:uid="{91FFE787-F23D-4945-A1DD-A971369C1C11}">
      <formula1>Metodos_Pago</formula1>
    </dataValidation>
    <dataValidation type="date" allowBlank="1" showInputMessage="1" showErrorMessage="1" error="Solo se permiten fechas validas en format dd/mm/aaaa" prompt="Introduce la fecha de la operacion" sqref="B6:B501" xr:uid="{BFA30990-56AD-4497-934F-C6419C777034}">
      <formula1>46023</formula1>
      <formula2>46387</formula2>
    </dataValidation>
    <dataValidation type="list" allowBlank="1" showInputMessage="1" showErrorMessage="1" sqref="D6:D501" xr:uid="{1542438E-C564-4FD5-82AF-1E6C3BE8209B}">
      <formula1>INDIRECT(C6)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495D3-9573-4097-911B-82BEA131BE75}">
  <sheetPr codeName="Hoja5"/>
  <dimension ref="A1:K15"/>
  <sheetViews>
    <sheetView showGridLines="0" zoomScale="90" zoomScaleNormal="90" workbookViewId="0">
      <selection activeCell="J22" sqref="J22"/>
    </sheetView>
  </sheetViews>
  <sheetFormatPr baseColWidth="10" defaultRowHeight="14.4"/>
  <cols>
    <col min="1" max="2" width="18.77734375" customWidth="1"/>
    <col min="3" max="3" width="3.21875" customWidth="1"/>
    <col min="4" max="5" width="18.77734375" customWidth="1"/>
    <col min="6" max="6" width="3.44140625" customWidth="1"/>
    <col min="7" max="8" width="18.77734375" customWidth="1"/>
    <col min="9" max="9" width="4" customWidth="1"/>
    <col min="10" max="11" width="18.77734375" customWidth="1"/>
  </cols>
  <sheetData>
    <row r="1" spans="1:11" ht="28.8">
      <c r="A1" s="9" t="s">
        <v>98</v>
      </c>
      <c r="B1" s="10"/>
    </row>
    <row r="2" spans="1:11" ht="28.8">
      <c r="A2" s="9" t="s">
        <v>55</v>
      </c>
      <c r="B2" s="10"/>
    </row>
    <row r="4" spans="1:11" ht="28.05" customHeight="1">
      <c r="A4" s="41" t="s">
        <v>95</v>
      </c>
      <c r="B4" s="41"/>
      <c r="D4" s="42" t="s">
        <v>96</v>
      </c>
      <c r="E4" s="42"/>
      <c r="G4" s="43" t="s">
        <v>97</v>
      </c>
      <c r="H4" s="43"/>
      <c r="J4" s="44" t="s">
        <v>73</v>
      </c>
      <c r="K4" s="44"/>
    </row>
    <row r="5" spans="1:11" ht="28.05" customHeight="1">
      <c r="A5" s="45">
        <f>SUM(Ingresos!E6:E501)</f>
        <v>1500</v>
      </c>
      <c r="B5" s="45"/>
      <c r="D5" s="46">
        <f>SUM(Gastos!E6:E501)</f>
        <v>990</v>
      </c>
      <c r="E5" s="46"/>
      <c r="G5" s="47">
        <f>A5 - D5</f>
        <v>510</v>
      </c>
      <c r="H5" s="47"/>
      <c r="J5" s="48" t="str">
        <f>IF(G5&gt;0,"🟢 Positivo","🔴 Negativo")</f>
        <v>🟢 Positivo</v>
      </c>
      <c r="K5" s="48"/>
    </row>
    <row r="8" spans="1:11" ht="30" customHeight="1"/>
    <row r="15" spans="1:11">
      <c r="C15" s="3"/>
    </row>
  </sheetData>
  <sheetProtection sheet="1" objects="1" scenarios="1"/>
  <mergeCells count="8">
    <mergeCell ref="A4:B4"/>
    <mergeCell ref="D4:E4"/>
    <mergeCell ref="G4:H4"/>
    <mergeCell ref="J4:K4"/>
    <mergeCell ref="A5:B5"/>
    <mergeCell ref="D5:E5"/>
    <mergeCell ref="G5:H5"/>
    <mergeCell ref="J5:K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54DB8-BC77-4448-B7F5-25BDF682805C}">
  <sheetPr codeName="Hoja6"/>
  <dimension ref="A1:D22"/>
  <sheetViews>
    <sheetView workbookViewId="0">
      <selection activeCell="B7" sqref="B7"/>
    </sheetView>
  </sheetViews>
  <sheetFormatPr baseColWidth="10" defaultRowHeight="14.4"/>
  <sheetData>
    <row r="1" spans="1:4">
      <c r="A1" t="s">
        <v>56</v>
      </c>
      <c r="B1" t="s">
        <v>57</v>
      </c>
    </row>
    <row r="2" spans="1:4">
      <c r="A2" t="str">
        <f>Configuracion!A17</f>
        <v>Alimentacion</v>
      </c>
      <c r="B2">
        <f>SUMIF(Gastos!C6:C501,A2,Gastos!E6:E501)</f>
        <v>50</v>
      </c>
    </row>
    <row r="3" spans="1:4">
      <c r="A3" t="str">
        <f>Configuracion!A18</f>
        <v>Transporte</v>
      </c>
      <c r="B3">
        <f>SUMIF(Gastos!C7:C502,A3,Gastos!E7:E502)</f>
        <v>50</v>
      </c>
    </row>
    <row r="4" spans="1:4">
      <c r="A4" t="str">
        <f>Configuracion!A19</f>
        <v>Vivienda</v>
      </c>
      <c r="B4">
        <f>SUMIF(Gastos!C8:C503,A4,Gastos!E8:E503)</f>
        <v>750</v>
      </c>
    </row>
    <row r="5" spans="1:4">
      <c r="A5" t="str">
        <f>Configuracion!A20</f>
        <v>Salud</v>
      </c>
      <c r="B5">
        <f>SUMIF(Gastos!C9:C504,A5,Gastos!E9:E504)</f>
        <v>35</v>
      </c>
    </row>
    <row r="6" spans="1:4">
      <c r="A6" t="str">
        <f>Configuracion!A21</f>
        <v>Ocio</v>
      </c>
      <c r="B6">
        <f>SUMIF(Gastos!C6:C505,A6,Gastos!E6:E505)</f>
        <v>45</v>
      </c>
    </row>
    <row r="7" spans="1:4">
      <c r="A7" t="str">
        <f>Configuracion!A22</f>
        <v>Otros</v>
      </c>
      <c r="B7">
        <f>SUMIF(Gastos!C11:C506,A7,Gastos!E11:E506)</f>
        <v>60</v>
      </c>
    </row>
    <row r="10" spans="1:4">
      <c r="A10" t="s">
        <v>58</v>
      </c>
      <c r="B10" t="s">
        <v>59</v>
      </c>
      <c r="C10" t="s">
        <v>60</v>
      </c>
      <c r="D10" t="s">
        <v>61</v>
      </c>
    </row>
    <row r="11" spans="1:4">
      <c r="A11" t="s">
        <v>62</v>
      </c>
      <c r="B11">
        <f>SUMIF(Ingresos!G6:G501,1,Ingresos!E6:E501)</f>
        <v>0</v>
      </c>
      <c r="C11">
        <f>SUMIF(Gastos!G6:G501,1,Gastos!E6:E501)</f>
        <v>0</v>
      </c>
      <c r="D11">
        <f t="shared" ref="D11:D22" si="0">B11-C11</f>
        <v>0</v>
      </c>
    </row>
    <row r="12" spans="1:4">
      <c r="A12" t="s">
        <v>22</v>
      </c>
      <c r="B12">
        <f>SUMIF(Ingresos!G6:G501,2,Ingresos!E6:E501)</f>
        <v>1500</v>
      </c>
      <c r="C12">
        <f>SUMIF(Gastos!G6:G501,2,Gastos!E6:E501)</f>
        <v>990</v>
      </c>
      <c r="D12">
        <f t="shared" si="0"/>
        <v>510</v>
      </c>
    </row>
    <row r="13" spans="1:4">
      <c r="A13" t="s">
        <v>63</v>
      </c>
      <c r="B13">
        <f>SUMIF(Ingresos!G6:G501,3,Ingresos!E6:E501)</f>
        <v>0</v>
      </c>
      <c r="C13">
        <f>SUMIF(Gastos!G6:G501,3,Gastos!E6:E501)</f>
        <v>0</v>
      </c>
      <c r="D13">
        <f t="shared" si="0"/>
        <v>0</v>
      </c>
    </row>
    <row r="14" spans="1:4">
      <c r="A14" t="s">
        <v>64</v>
      </c>
      <c r="B14">
        <f>SUMIF(Ingresos!G6:G501,4,Ingresos!E6:E501)</f>
        <v>0</v>
      </c>
      <c r="C14">
        <f>SUMIF(Gastos!G6:G501,4,Gastos!E6:E501)</f>
        <v>0</v>
      </c>
      <c r="D14">
        <f t="shared" si="0"/>
        <v>0</v>
      </c>
    </row>
    <row r="15" spans="1:4">
      <c r="A15" t="s">
        <v>65</v>
      </c>
      <c r="B15">
        <f>SUMIF(Ingresos!G6:G501,5,Ingresos!E6:E501)</f>
        <v>0</v>
      </c>
      <c r="C15">
        <f>SUMIF(Gastos!G6:G501,5,Gastos!E6:E501)</f>
        <v>0</v>
      </c>
      <c r="D15">
        <f t="shared" si="0"/>
        <v>0</v>
      </c>
    </row>
    <row r="16" spans="1:4">
      <c r="A16" t="s">
        <v>66</v>
      </c>
      <c r="B16">
        <f>SUMIF(Ingresos!G6:G501,6,Ingresos!E6:E501)</f>
        <v>0</v>
      </c>
      <c r="C16">
        <f>SUMIF(Gastos!G6:G501,6,Gastos!E6:E501)</f>
        <v>0</v>
      </c>
      <c r="D16">
        <f t="shared" si="0"/>
        <v>0</v>
      </c>
    </row>
    <row r="17" spans="1:4">
      <c r="A17" t="s">
        <v>67</v>
      </c>
      <c r="B17">
        <f>SUMIF(Ingresos!G6:G501,7,Ingresos!E6:E501)</f>
        <v>0</v>
      </c>
      <c r="C17">
        <f>SUMIF(Gastos!G6:G501,7,Gastos!E6:E501)</f>
        <v>0</v>
      </c>
      <c r="D17">
        <f t="shared" si="0"/>
        <v>0</v>
      </c>
    </row>
    <row r="18" spans="1:4">
      <c r="A18" t="s">
        <v>68</v>
      </c>
      <c r="B18">
        <f>SUMIF(Ingresos!G6:G501,8,Ingresos!E6:E501)</f>
        <v>0</v>
      </c>
      <c r="C18">
        <f>SUMIF(Gastos!G6:G501,8,Gastos!E6:E501)</f>
        <v>0</v>
      </c>
      <c r="D18">
        <f t="shared" si="0"/>
        <v>0</v>
      </c>
    </row>
    <row r="19" spans="1:4">
      <c r="A19" t="s">
        <v>69</v>
      </c>
      <c r="B19">
        <f>SUMIF(Ingresos!G6:G501,9,Ingresos!E6:E501)</f>
        <v>0</v>
      </c>
      <c r="C19">
        <f>SUMIF(Gastos!G6:G501,9,Gastos!E6:E501)</f>
        <v>0</v>
      </c>
      <c r="D19">
        <f t="shared" si="0"/>
        <v>0</v>
      </c>
    </row>
    <row r="20" spans="1:4">
      <c r="A20" t="s">
        <v>70</v>
      </c>
      <c r="B20">
        <f>SUMIF(Ingresos!G6:G501,10,Ingresos!E6:E501)</f>
        <v>0</v>
      </c>
      <c r="C20">
        <f>SUMIF(Gastos!G6:G501,10,Gastos!E6:E501)</f>
        <v>0</v>
      </c>
      <c r="D20">
        <f t="shared" si="0"/>
        <v>0</v>
      </c>
    </row>
    <row r="21" spans="1:4">
      <c r="A21" t="s">
        <v>71</v>
      </c>
      <c r="B21">
        <f>SUMIF(Ingresos!G6:G501,11,Ingresos!E6:E501)</f>
        <v>0</v>
      </c>
      <c r="C21">
        <f>SUMIF(Gastos!G6:G501,11,Gastos!E6:E501)</f>
        <v>0</v>
      </c>
      <c r="D21">
        <f t="shared" si="0"/>
        <v>0</v>
      </c>
    </row>
    <row r="22" spans="1:4">
      <c r="A22" t="s">
        <v>72</v>
      </c>
      <c r="B22">
        <f>SUMIF(Ingresos!G6:G501,12,Ingresos!E6:E501)</f>
        <v>0</v>
      </c>
      <c r="C22">
        <f>SUMIF(Gastos!G6:G501,12,Gastos!E6:E501)</f>
        <v>0</v>
      </c>
      <c r="D22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9</vt:i4>
      </vt:variant>
    </vt:vector>
  </HeadingPairs>
  <TitlesOfParts>
    <vt:vector size="15" baseType="lpstr">
      <vt:lpstr>Instrucciones</vt:lpstr>
      <vt:lpstr>Configuracion</vt:lpstr>
      <vt:lpstr>Ingresos</vt:lpstr>
      <vt:lpstr>Gastos</vt:lpstr>
      <vt:lpstr>Dashboard</vt:lpstr>
      <vt:lpstr>Datos</vt:lpstr>
      <vt:lpstr>Alimentacion</vt:lpstr>
      <vt:lpstr>Cat_Gastos</vt:lpstr>
      <vt:lpstr>Cat_Ingresos</vt:lpstr>
      <vt:lpstr>Metodos_Pago</vt:lpstr>
      <vt:lpstr>Ocio</vt:lpstr>
      <vt:lpstr>Otros</vt:lpstr>
      <vt:lpstr>Salud</vt:lpstr>
      <vt:lpstr>Transporte</vt:lpstr>
      <vt:lpstr>Vivienda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Adalberto Figueroa Rodriguez</dc:creator>
  <cp:lastModifiedBy>Jorge Adalberto Figueroa Rodriguez</cp:lastModifiedBy>
  <dcterms:created xsi:type="dcterms:W3CDTF">2026-02-16T22:40:21Z</dcterms:created>
  <dcterms:modified xsi:type="dcterms:W3CDTF">2026-02-19T22:52:54Z</dcterms:modified>
</cp:coreProperties>
</file>